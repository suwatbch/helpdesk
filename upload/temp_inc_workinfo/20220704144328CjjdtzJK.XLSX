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upaporn.R\Desktop\MEA RE-IMP\After-GOLIVE\PS\PS_incident\MEA S4-xxx\"/>
    </mc:Choice>
  </mc:AlternateContent>
  <bookViews>
    <workbookView xWindow="0" yWindow="0" windowWidth="21855" windowHeight="14940"/>
  </bookViews>
  <sheets>
    <sheet name="Sheet1" sheetId="1" r:id="rId1"/>
    <sheet name="Sheet2" sheetId="2" r:id="rId2"/>
  </sheets>
  <definedNames>
    <definedName name="_xlnm._FilterDatabase" localSheetId="0" hidden="1">Sheet1!$A$1:$AK$38</definedName>
  </definedNames>
  <calcPr calcId="152511"/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E2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" i="1"/>
</calcChain>
</file>

<file path=xl/comments1.xml><?xml version="1.0" encoding="utf-8"?>
<comments xmlns="http://schemas.openxmlformats.org/spreadsheetml/2006/main">
  <authors>
    <author>Supaporn Ratthanapas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Supaporn Ratthanapas:</t>
        </r>
        <r>
          <rPr>
            <sz val="9"/>
            <color indexed="81"/>
            <rFont val="Tahoma"/>
            <family val="2"/>
          </rPr>
          <t xml:space="preserve">
User ทำ TECO/WCAN แล้วเนื่องจากคลาสทรัพย์สินไม่ถูกต้อง จึงไม่ได้แก้ศูนย์กำไร</t>
        </r>
      </text>
    </comment>
  </commentList>
</comments>
</file>

<file path=xl/sharedStrings.xml><?xml version="1.0" encoding="utf-8"?>
<sst xmlns="http://schemas.openxmlformats.org/spreadsheetml/2006/main" count="925" uniqueCount="225">
  <si>
    <t/>
  </si>
  <si>
    <t>I/64.06.04.004.64.08.001</t>
  </si>
  <si>
    <t>การก่อสร้างสายป้อนอากาศ และติดตั้งอุปกรณ</t>
  </si>
  <si>
    <t>REL</t>
  </si>
  <si>
    <t>WACT</t>
  </si>
  <si>
    <t>P200000</t>
  </si>
  <si>
    <t>I000001</t>
  </si>
  <si>
    <t>0.00</t>
  </si>
  <si>
    <t>C498000</t>
  </si>
  <si>
    <t>C690000</t>
  </si>
  <si>
    <t>492004</t>
  </si>
  <si>
    <t>10.6.02</t>
  </si>
  <si>
    <t>23</t>
  </si>
  <si>
    <t>สายป้อนเหนือดิน 24 KV.</t>
  </si>
  <si>
    <t>99</t>
  </si>
  <si>
    <t>509900280600</t>
  </si>
  <si>
    <t>I/64.06.04.004.64.16.302</t>
  </si>
  <si>
    <t>OH.แรงต่ำโครงการพระราม3/2 ถนนพระราม3OH.แ</t>
  </si>
  <si>
    <t>BGPR</t>
  </si>
  <si>
    <t>20</t>
  </si>
  <si>
    <t>สายแรงต่ำ (สายบนอากาศและใ</t>
  </si>
  <si>
    <t>I/64.06.04.004.64.16.303</t>
  </si>
  <si>
    <t>I/64.09.04.001.64.05.207</t>
  </si>
  <si>
    <t>เบิก 69kV Terminator Riser หน้า สย.บางยี</t>
  </si>
  <si>
    <t>1,113,957.24</t>
  </si>
  <si>
    <t>C494000</t>
  </si>
  <si>
    <t>498002</t>
  </si>
  <si>
    <t>12.6.02</t>
  </si>
  <si>
    <t>26</t>
  </si>
  <si>
    <t>สายส่งใต้ดิน69 KV.</t>
  </si>
  <si>
    <t>509900280800</t>
  </si>
  <si>
    <t>902076449001-0</t>
  </si>
  <si>
    <t>I/64.09.04.001.64.06.204</t>
  </si>
  <si>
    <t>ติดตั้ง Riser 115 kV หน้าตลาด SCBติดตั้ง</t>
  </si>
  <si>
    <t>519,776.70</t>
  </si>
  <si>
    <t>C460000</t>
  </si>
  <si>
    <t>27</t>
  </si>
  <si>
    <t>สายส่งเหนือดิน 115 KV.</t>
  </si>
  <si>
    <t>902046449001-0</t>
  </si>
  <si>
    <t>I/64.09.04.001.64.06.205</t>
  </si>
  <si>
    <t>68,800.46</t>
  </si>
  <si>
    <t>12.6.08</t>
  </si>
  <si>
    <t>902056449001-0</t>
  </si>
  <si>
    <t>I/64.09.04.001.64.12.204</t>
  </si>
  <si>
    <t>OH.69kVแนวสายสีเหลือง ถ.ประดิษฐ์มนูธรรมO</t>
  </si>
  <si>
    <t>762,451.06</t>
  </si>
  <si>
    <t>12.6.05</t>
  </si>
  <si>
    <t>25</t>
  </si>
  <si>
    <t>สายส่งเหนือดิน 69 KV.</t>
  </si>
  <si>
    <t>I/64.09.04.001.64.12.205</t>
  </si>
  <si>
    <t>1,206,628.59</t>
  </si>
  <si>
    <t>I/64.09.04.001.65.27.305</t>
  </si>
  <si>
    <t>จ้างที่ปรึกษาด้านกฎหมาย ฝบค.คส.15/2564</t>
  </si>
  <si>
    <t>1,152,000.00</t>
  </si>
  <si>
    <t>C499000</t>
  </si>
  <si>
    <t>24</t>
  </si>
  <si>
    <t>สายป้อนใต้ดิน24 KV.</t>
  </si>
  <si>
    <t>903056449001-0</t>
  </si>
  <si>
    <t>I/64.09.04.002.64.70.303</t>
  </si>
  <si>
    <t>สายอากาศแรงต่ำ ถนนพระราม5สายอากาศแรงต่ำ</t>
  </si>
  <si>
    <t>C560000</t>
  </si>
  <si>
    <t>12.6.09</t>
  </si>
  <si>
    <t>903036449001-0</t>
  </si>
  <si>
    <t>I/64.09.04.002.64.73.303</t>
  </si>
  <si>
    <t>CONS.OH. NR425 บริเวณซอยติวานนท์ 52 ฟขน.</t>
  </si>
  <si>
    <t>121,830.45</t>
  </si>
  <si>
    <t>C570000</t>
  </si>
  <si>
    <t>492003</t>
  </si>
  <si>
    <t>12.6.06</t>
  </si>
  <si>
    <t>I/64.09.04.002.64.91.302</t>
  </si>
  <si>
    <t>ก่อร้างสายอากาศ ซอยรามคำแหง 42การก่อสร้า</t>
  </si>
  <si>
    <t>51,536.52</t>
  </si>
  <si>
    <t>C760000</t>
  </si>
  <si>
    <t>12.6.12</t>
  </si>
  <si>
    <t>903026449001-0</t>
  </si>
  <si>
    <t>I/64.09.04.002.64.91.303</t>
  </si>
  <si>
    <t>ก่อร้างสายอากาศ ซอยรามคำแหง 42</t>
  </si>
  <si>
    <t>10,038.31</t>
  </si>
  <si>
    <t>I/64.09.04.002.64.92.302</t>
  </si>
  <si>
    <t>ก่อร้างสายอากาศ ซอยรามคำแหง 44การก่อสร้า</t>
  </si>
  <si>
    <t>48,179.62</t>
  </si>
  <si>
    <t>I/64.09.04.002.64.92.303</t>
  </si>
  <si>
    <t>I/64.09.04.002.64.93.302</t>
  </si>
  <si>
    <t>ก่อร้างสายอากาศ ซอยรามคำแหง 46</t>
  </si>
  <si>
    <t>I/64.09.04.002.64.93.303</t>
  </si>
  <si>
    <t>I/64.09.04.002.64.KJ.302</t>
  </si>
  <si>
    <t>ก่อสร้างสายอากาศ ซอยข้าง สน.โชคชัย 4 ฟขจ</t>
  </si>
  <si>
    <t>45,521.79</t>
  </si>
  <si>
    <t>C550000</t>
  </si>
  <si>
    <t>I/64.09.04.002.64.KJ.303</t>
  </si>
  <si>
    <t>60,894.21</t>
  </si>
  <si>
    <t>I/64.10.03.001.64.AT.305</t>
  </si>
  <si>
    <t>RT416_UG ถนนรามอินทรา</t>
  </si>
  <si>
    <t>C660000</t>
  </si>
  <si>
    <t>12.3.21</t>
  </si>
  <si>
    <t>509900280900</t>
  </si>
  <si>
    <t>I/64.10.03.001.64.DJ.304</t>
  </si>
  <si>
    <t>การยกคอบ่อฯ ถนนพระราม 6การยกคอบ่อพักสายไ</t>
  </si>
  <si>
    <t>WCLS</t>
  </si>
  <si>
    <t>653,910.00</t>
  </si>
  <si>
    <t>C492200</t>
  </si>
  <si>
    <t>I/64.10.03.001.64.XX.001</t>
  </si>
  <si>
    <t>DB.</t>
  </si>
  <si>
    <t>5,950,890.00</t>
  </si>
  <si>
    <t>I/64.10.03.001.64.XX.002</t>
  </si>
  <si>
    <t>UG.HV</t>
  </si>
  <si>
    <t>9,724,269.45</t>
  </si>
  <si>
    <t>I/64.10.03.001.64.XX.003</t>
  </si>
  <si>
    <t>OH.HV</t>
  </si>
  <si>
    <t>901,681.15</t>
  </si>
  <si>
    <t>I/64.10.03.001.64.XX.004</t>
  </si>
  <si>
    <t>UG.MV</t>
  </si>
  <si>
    <t>11,303,611.56</t>
  </si>
  <si>
    <t>I/64.10.03.001.64.XX.005</t>
  </si>
  <si>
    <t>OH.MV</t>
  </si>
  <si>
    <t>573,906.88</t>
  </si>
  <si>
    <t>I/64.10.03.001.64.XX.006</t>
  </si>
  <si>
    <t>ราคาสาย</t>
  </si>
  <si>
    <t>35,527.55</t>
  </si>
  <si>
    <t>I/64.10.03.001.64.XX.007</t>
  </si>
  <si>
    <t>OH.AFC 1 km  2565</t>
  </si>
  <si>
    <t>3,694,439.61</t>
  </si>
  <si>
    <t>I/64.10.03.001.64.XX.008</t>
  </si>
  <si>
    <t>UG. 1 km 2565</t>
  </si>
  <si>
    <t>6,608,942.66</t>
  </si>
  <si>
    <t>I/64.10.03.001.64.XX.009</t>
  </si>
  <si>
    <t>OH.ASC 1 km  2565</t>
  </si>
  <si>
    <t>2,714,614.05</t>
  </si>
  <si>
    <t>I/64.10.03.001.64.XX.010</t>
  </si>
  <si>
    <t>RE.OH. 1 km 2565</t>
  </si>
  <si>
    <t>792,452.48</t>
  </si>
  <si>
    <t>I/64.10.03.001.64.XX.011</t>
  </si>
  <si>
    <t>องค์ประกอบ WBS I/64.10.03.001.64.XX.011</t>
  </si>
  <si>
    <t>1,960,200.03</t>
  </si>
  <si>
    <t>I/64.10.20.001.64.36.203</t>
  </si>
  <si>
    <t>ออกแบบเพื่อปรับปรุงสถานีต้นทางบางพล</t>
  </si>
  <si>
    <t>141,583.70</t>
  </si>
  <si>
    <t>C492000</t>
  </si>
  <si>
    <t>C230000</t>
  </si>
  <si>
    <t>13.1.08.1</t>
  </si>
  <si>
    <t>111</t>
  </si>
  <si>
    <t>งานออกแบบสถานีต้นทาง/ย่อย</t>
  </si>
  <si>
    <t>902030000510-0</t>
  </si>
  <si>
    <t>N/65.32.05.901.65.02</t>
  </si>
  <si>
    <t>ปรับปรุงพื้นที่ทำงานฝ่ายพัฒนาระบบเทคโนโล</t>
  </si>
  <si>
    <t>N000001</t>
  </si>
  <si>
    <t>159,794.00</t>
  </si>
  <si>
    <t>C320000</t>
  </si>
  <si>
    <t>444003</t>
  </si>
  <si>
    <t>0</t>
  </si>
  <si>
    <t>18</t>
  </si>
  <si>
    <t>509900200000</t>
  </si>
  <si>
    <t>904020002770-0</t>
  </si>
  <si>
    <t>N/65.53.05.901.65.02</t>
  </si>
  <si>
    <t>งานปรับปรุงฝ้าเพดานและผนังห้องปฏิบัติการ</t>
  </si>
  <si>
    <t>1,382,000.00</t>
  </si>
  <si>
    <t>C530000</t>
  </si>
  <si>
    <t>C440000</t>
  </si>
  <si>
    <t>444004</t>
  </si>
  <si>
    <t>509900530000</t>
  </si>
  <si>
    <t>904020002759-0</t>
  </si>
  <si>
    <t>N/65.79.05.901.65.02</t>
  </si>
  <si>
    <t>งานก่อสร้างอาคารโรงเก็บขยะ ฟขม.</t>
  </si>
  <si>
    <t>704,100.00</t>
  </si>
  <si>
    <t>C790000</t>
  </si>
  <si>
    <t>509900790000</t>
  </si>
  <si>
    <t>904020002768-0</t>
  </si>
  <si>
    <t>N/65.79.06.901.65.03</t>
  </si>
  <si>
    <t>ระบบไฟฟ้าแรงต่ำ</t>
  </si>
  <si>
    <t>41,100.00</t>
  </si>
  <si>
    <t>C300000</t>
  </si>
  <si>
    <t>904020002787-0</t>
  </si>
  <si>
    <t>WBS</t>
  </si>
  <si>
    <t>ชื่อ WBS</t>
  </si>
  <si>
    <t>Status</t>
  </si>
  <si>
    <t>User Status</t>
  </si>
  <si>
    <t>ศูนย์กำไร</t>
  </si>
  <si>
    <t>Creation Date</t>
  </si>
  <si>
    <t>Project profile</t>
  </si>
  <si>
    <t>Batch</t>
  </si>
  <si>
    <t>Estimate Amount</t>
  </si>
  <si>
    <t>REL Date</t>
  </si>
  <si>
    <t>TECO Date</t>
  </si>
  <si>
    <t>ACCO date</t>
  </si>
  <si>
    <t>CLSD Date</t>
  </si>
  <si>
    <t>ศูนย์ต้นทุนที่ขอ</t>
  </si>
  <si>
    <t>ศูนย์ต้นทุนที่รับผิดชอบ</t>
  </si>
  <si>
    <t>เลขประมาณการ</t>
  </si>
  <si>
    <t>Plan Start Date</t>
  </si>
  <si>
    <t>วันที่แก้ไขล่าสุด</t>
  </si>
  <si>
    <t>Create By</t>
  </si>
  <si>
    <t>ข้อโครงการย่อย</t>
  </si>
  <si>
    <t>ข้อโครงการ</t>
  </si>
  <si>
    <t>เลขที่สัญญา</t>
  </si>
  <si>
    <t>Bid no.</t>
  </si>
  <si>
    <t>หมายเลขผู้สมัคร</t>
  </si>
  <si>
    <t>ผู้สมัคร</t>
  </si>
  <si>
    <t>ประเภทโครงการ</t>
  </si>
  <si>
    <t>ระดับในลำดับชั้นโครงการ</t>
  </si>
  <si>
    <t>วันที่ส่งของ</t>
  </si>
  <si>
    <t>วันที่ทำสัญญา</t>
  </si>
  <si>
    <t>วันที่ประกวดราคา</t>
  </si>
  <si>
    <t>แผนงาน/โครงการที่ 1</t>
  </si>
  <si>
    <t>เปอร์เซนต์ 1</t>
  </si>
  <si>
    <t>WACT date</t>
  </si>
  <si>
    <t>WCLS date</t>
  </si>
  <si>
    <t>Settlement rule</t>
  </si>
  <si>
    <t>มีรายการบันทึกเข้าแล้ว</t>
  </si>
  <si>
    <t>No</t>
  </si>
  <si>
    <t>Yes</t>
  </si>
  <si>
    <t>TECO</t>
  </si>
  <si>
    <t>WCNX</t>
  </si>
  <si>
    <t>P690000</t>
  </si>
  <si>
    <t>P290000</t>
  </si>
  <si>
    <t>P490000</t>
  </si>
  <si>
    <t>P560000</t>
  </si>
  <si>
    <t>P570000</t>
  </si>
  <si>
    <t>P760000</t>
  </si>
  <si>
    <t>P550000</t>
  </si>
  <si>
    <t>P800000</t>
  </si>
  <si>
    <t>P230000</t>
  </si>
  <si>
    <t>P320000</t>
  </si>
  <si>
    <t>P530000</t>
  </si>
  <si>
    <t>P790000</t>
  </si>
  <si>
    <t>ศูนย์กำไร (ใหม่)
ณ 04/07/65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</si>
</sst>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vertical="top"/>
    </xf>
    <xf numFmtId="0" fontId="1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5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38"/>
  <sheetViews>
    <sheetView tabSelected="1" workbookViewId="0">
      <selection activeCell="I22" sqref="I22"/>
    </sheetView>
  </sheetViews>
  <sheetFormatPr defaultRowHeight="12.75" x14ac:dyDescent="0.2"/>
  <cols>
    <col min="1" max="1" width="26" bestFit="1" customWidth="1"/>
    <col min="2" max="2" width="42" bestFit="1" customWidth="1"/>
    <col min="3" max="3" width="20.85546875" bestFit="1" customWidth="1"/>
    <col min="4" max="5" width="13" customWidth="1"/>
    <col min="6" max="6" width="11" bestFit="1" customWidth="1"/>
    <col min="7" max="7" width="15.5703125" bestFit="1" customWidth="1"/>
    <col min="8" max="9" width="15" bestFit="1" customWidth="1"/>
    <col min="10" max="10" width="17" bestFit="1" customWidth="1"/>
    <col min="11" max="11" width="7" bestFit="1" customWidth="1"/>
    <col min="12" max="12" width="17" bestFit="1" customWidth="1"/>
    <col min="13" max="16" width="13" bestFit="1" customWidth="1"/>
    <col min="17" max="17" width="9" bestFit="1" customWidth="1"/>
    <col min="18" max="18" width="14" bestFit="1" customWidth="1"/>
    <col min="19" max="19" width="17" bestFit="1" customWidth="1"/>
    <col min="20" max="20" width="19" bestFit="1" customWidth="1"/>
    <col min="21" max="21" width="11" bestFit="1" customWidth="1"/>
    <col min="22" max="22" width="16" bestFit="1" customWidth="1"/>
    <col min="23" max="23" width="12" bestFit="1" customWidth="1"/>
    <col min="24" max="24" width="13" bestFit="1" customWidth="1"/>
    <col min="25" max="25" width="9" bestFit="1" customWidth="1"/>
    <col min="26" max="26" width="11" bestFit="1" customWidth="1"/>
    <col min="27" max="27" width="27" bestFit="1" customWidth="1"/>
    <col min="28" max="28" width="10" bestFit="1" customWidth="1"/>
    <col min="29" max="30" width="14" bestFit="1" customWidth="1"/>
    <col min="31" max="31" width="15" bestFit="1" customWidth="1"/>
    <col min="32" max="32" width="18" bestFit="1" customWidth="1"/>
    <col min="33" max="33" width="21" bestFit="1" customWidth="1"/>
    <col min="34" max="34" width="14" bestFit="1" customWidth="1"/>
    <col min="35" max="36" width="13" bestFit="1" customWidth="1"/>
    <col min="37" max="37" width="17" bestFit="1" customWidth="1"/>
  </cols>
  <sheetData>
    <row r="1" spans="1:37" ht="38.25" x14ac:dyDescent="0.2">
      <c r="A1" s="1" t="s">
        <v>172</v>
      </c>
      <c r="B1" s="1" t="s">
        <v>173</v>
      </c>
      <c r="C1" s="6" t="s">
        <v>207</v>
      </c>
      <c r="D1" s="1" t="s">
        <v>174</v>
      </c>
      <c r="E1" s="1" t="s">
        <v>175</v>
      </c>
      <c r="F1" s="1" t="s">
        <v>176</v>
      </c>
      <c r="G1" s="14" t="s">
        <v>224</v>
      </c>
      <c r="H1" s="1" t="s">
        <v>185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5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5" t="s">
        <v>195</v>
      </c>
      <c r="AA1" s="1" t="s">
        <v>196</v>
      </c>
      <c r="AB1" s="5" t="s">
        <v>197</v>
      </c>
      <c r="AC1" s="5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</row>
    <row r="2" spans="1:37" s="7" customFormat="1" x14ac:dyDescent="0.2">
      <c r="A2" s="7" t="s">
        <v>1</v>
      </c>
      <c r="B2" s="7" t="s">
        <v>2</v>
      </c>
      <c r="C2" s="12" t="s">
        <v>208</v>
      </c>
      <c r="D2" s="7" t="str">
        <f>VLOOKUP(A2,Sheet2!A:C,2,0)</f>
        <v>TECO</v>
      </c>
      <c r="E2" s="7" t="str">
        <f>VLOOKUP(A2,Sheet2!A:C,3,0)</f>
        <v>WCNX</v>
      </c>
      <c r="F2" s="15" t="s">
        <v>5</v>
      </c>
      <c r="G2" s="13" t="str">
        <f>VLOOKUP(A2,Sheet2!A:D,4,0)</f>
        <v>P200000</v>
      </c>
      <c r="H2" s="7" t="s">
        <v>8</v>
      </c>
      <c r="I2" s="8">
        <v>44356</v>
      </c>
      <c r="J2" s="7" t="s">
        <v>6</v>
      </c>
      <c r="K2" s="7" t="s">
        <v>0</v>
      </c>
      <c r="L2" s="7" t="s">
        <v>7</v>
      </c>
      <c r="M2" s="8">
        <v>44356</v>
      </c>
      <c r="N2" s="8"/>
      <c r="O2" s="8"/>
      <c r="P2" s="8"/>
      <c r="Q2" s="7" t="s">
        <v>9</v>
      </c>
      <c r="R2" s="7" t="s">
        <v>0</v>
      </c>
      <c r="S2" s="8">
        <v>44211</v>
      </c>
      <c r="T2" s="8">
        <v>44638</v>
      </c>
      <c r="U2" s="7" t="s">
        <v>10</v>
      </c>
      <c r="V2" s="7" t="s">
        <v>11</v>
      </c>
      <c r="W2" s="7" t="s">
        <v>0</v>
      </c>
      <c r="X2" s="7" t="s">
        <v>0</v>
      </c>
      <c r="Y2" s="7" t="s">
        <v>0</v>
      </c>
      <c r="Z2" s="7" t="s">
        <v>12</v>
      </c>
      <c r="AA2" s="7" t="s">
        <v>13</v>
      </c>
      <c r="AB2" s="7" t="s">
        <v>14</v>
      </c>
      <c r="AC2" s="9">
        <v>6</v>
      </c>
      <c r="AD2" s="8"/>
      <c r="AE2" s="8"/>
      <c r="AF2" s="8"/>
      <c r="AG2" s="7" t="s">
        <v>15</v>
      </c>
      <c r="AH2" s="10">
        <v>100</v>
      </c>
      <c r="AI2" s="8">
        <v>44372</v>
      </c>
      <c r="AJ2" s="8"/>
      <c r="AK2" s="7" t="s">
        <v>0</v>
      </c>
    </row>
    <row r="3" spans="1:37" x14ac:dyDescent="0.2">
      <c r="A3" t="s">
        <v>16</v>
      </c>
      <c r="B3" t="s">
        <v>17</v>
      </c>
      <c r="C3" t="s">
        <v>208</v>
      </c>
      <c r="D3" t="str">
        <f>VLOOKUP(A3,Sheet2!A:C,2,0)</f>
        <v>REL</v>
      </c>
      <c r="E3" t="str">
        <f>VLOOKUP(A3,Sheet2!A:C,3,0)</f>
        <v>BGPR</v>
      </c>
      <c r="F3" s="15" t="s">
        <v>5</v>
      </c>
      <c r="G3" t="str">
        <f>VLOOKUP(A3,Sheet2!A:D,4,0)</f>
        <v>P690000</v>
      </c>
      <c r="H3" t="s">
        <v>8</v>
      </c>
      <c r="I3" s="2">
        <v>44431</v>
      </c>
      <c r="J3" t="s">
        <v>6</v>
      </c>
      <c r="K3" t="s">
        <v>0</v>
      </c>
      <c r="L3" t="s">
        <v>7</v>
      </c>
      <c r="M3" s="2">
        <v>44431</v>
      </c>
      <c r="N3" s="2"/>
      <c r="O3" s="2"/>
      <c r="P3" s="2"/>
      <c r="Q3" t="s">
        <v>9</v>
      </c>
      <c r="R3" t="s">
        <v>0</v>
      </c>
      <c r="S3" s="2">
        <v>44211</v>
      </c>
      <c r="T3" s="2">
        <v>44638</v>
      </c>
      <c r="U3" t="s">
        <v>10</v>
      </c>
      <c r="V3" t="s">
        <v>11</v>
      </c>
      <c r="W3" t="s">
        <v>0</v>
      </c>
      <c r="X3" t="s">
        <v>0</v>
      </c>
      <c r="Y3" t="s">
        <v>0</v>
      </c>
      <c r="Z3" t="s">
        <v>19</v>
      </c>
      <c r="AA3" t="s">
        <v>20</v>
      </c>
      <c r="AB3" t="s">
        <v>14</v>
      </c>
      <c r="AC3" s="3">
        <v>6</v>
      </c>
      <c r="AD3" s="2"/>
      <c r="AE3" s="2"/>
      <c r="AF3" s="2"/>
      <c r="AG3" t="s">
        <v>15</v>
      </c>
      <c r="AH3" s="4">
        <v>100</v>
      </c>
      <c r="AI3" s="2"/>
      <c r="AJ3" s="2"/>
      <c r="AK3" t="s">
        <v>0</v>
      </c>
    </row>
    <row r="4" spans="1:37" x14ac:dyDescent="0.2">
      <c r="A4" t="s">
        <v>21</v>
      </c>
      <c r="B4" t="s">
        <v>17</v>
      </c>
      <c r="C4" t="s">
        <v>208</v>
      </c>
      <c r="D4" t="str">
        <f>VLOOKUP(A4,Sheet2!A:C,2,0)</f>
        <v>REL</v>
      </c>
      <c r="E4" t="str">
        <f>VLOOKUP(A4,Sheet2!A:C,3,0)</f>
        <v>BGPR</v>
      </c>
      <c r="F4" s="15" t="s">
        <v>5</v>
      </c>
      <c r="G4" t="str">
        <f>VLOOKUP(A4,Sheet2!A:D,4,0)</f>
        <v>P690000</v>
      </c>
      <c r="H4" t="s">
        <v>8</v>
      </c>
      <c r="I4" s="2">
        <v>44431</v>
      </c>
      <c r="J4" t="s">
        <v>6</v>
      </c>
      <c r="K4" t="s">
        <v>0</v>
      </c>
      <c r="L4" t="s">
        <v>7</v>
      </c>
      <c r="M4" s="2">
        <v>44431</v>
      </c>
      <c r="N4" s="2"/>
      <c r="O4" s="2"/>
      <c r="P4" s="2"/>
      <c r="Q4" t="s">
        <v>9</v>
      </c>
      <c r="R4" t="s">
        <v>0</v>
      </c>
      <c r="S4" s="2">
        <v>44211</v>
      </c>
      <c r="T4" s="2">
        <v>44638</v>
      </c>
      <c r="U4" t="s">
        <v>10</v>
      </c>
      <c r="V4" t="s">
        <v>11</v>
      </c>
      <c r="W4" t="s">
        <v>0</v>
      </c>
      <c r="X4" t="s">
        <v>0</v>
      </c>
      <c r="Y4" t="s">
        <v>0</v>
      </c>
      <c r="Z4" t="s">
        <v>19</v>
      </c>
      <c r="AA4" t="s">
        <v>20</v>
      </c>
      <c r="AB4" t="s">
        <v>14</v>
      </c>
      <c r="AC4" s="3">
        <v>6</v>
      </c>
      <c r="AD4" s="2"/>
      <c r="AE4" s="2"/>
      <c r="AF4" s="2"/>
      <c r="AG4" t="s">
        <v>15</v>
      </c>
      <c r="AH4" s="4">
        <v>100</v>
      </c>
      <c r="AI4" s="2"/>
      <c r="AJ4" s="2"/>
      <c r="AK4" t="s">
        <v>0</v>
      </c>
    </row>
    <row r="5" spans="1:37" s="7" customFormat="1" x14ac:dyDescent="0.2">
      <c r="A5" s="7" t="s">
        <v>22</v>
      </c>
      <c r="B5" s="7" t="s">
        <v>23</v>
      </c>
      <c r="C5" s="12" t="s">
        <v>209</v>
      </c>
      <c r="D5" s="7" t="str">
        <f>VLOOKUP(A5,Sheet2!A:C,2,0)</f>
        <v>REL</v>
      </c>
      <c r="E5" s="7" t="str">
        <f>VLOOKUP(A5,Sheet2!A:C,3,0)</f>
        <v>WACT</v>
      </c>
      <c r="F5" s="15" t="s">
        <v>5</v>
      </c>
      <c r="G5" s="11" t="str">
        <f>VLOOKUP(A5,Sheet2!A:D,4,0)</f>
        <v>P290000</v>
      </c>
      <c r="H5" s="7" t="s">
        <v>8</v>
      </c>
      <c r="I5" s="8">
        <v>44371</v>
      </c>
      <c r="J5" s="7" t="s">
        <v>6</v>
      </c>
      <c r="K5" s="7" t="s">
        <v>0</v>
      </c>
      <c r="L5" s="7" t="s">
        <v>24</v>
      </c>
      <c r="M5" s="8">
        <v>44371</v>
      </c>
      <c r="N5" s="8"/>
      <c r="O5" s="8"/>
      <c r="P5" s="8"/>
      <c r="Q5" s="7" t="s">
        <v>25</v>
      </c>
      <c r="R5" s="7" t="s">
        <v>0</v>
      </c>
      <c r="S5" s="8">
        <v>44202</v>
      </c>
      <c r="T5" s="8">
        <v>44670</v>
      </c>
      <c r="U5" s="7" t="s">
        <v>26</v>
      </c>
      <c r="V5" s="7" t="s">
        <v>27</v>
      </c>
      <c r="W5" s="7" t="s">
        <v>0</v>
      </c>
      <c r="X5" s="7" t="s">
        <v>0</v>
      </c>
      <c r="Y5" s="7" t="s">
        <v>0</v>
      </c>
      <c r="Z5" s="7" t="s">
        <v>28</v>
      </c>
      <c r="AA5" s="7" t="s">
        <v>29</v>
      </c>
      <c r="AB5" s="7" t="s">
        <v>14</v>
      </c>
      <c r="AC5" s="9">
        <v>6</v>
      </c>
      <c r="AD5" s="8"/>
      <c r="AE5" s="8"/>
      <c r="AF5" s="8"/>
      <c r="AG5" s="7" t="s">
        <v>30</v>
      </c>
      <c r="AH5" s="10">
        <v>100</v>
      </c>
      <c r="AI5" s="8">
        <v>44371</v>
      </c>
      <c r="AJ5" s="8"/>
      <c r="AK5" s="7" t="s">
        <v>31</v>
      </c>
    </row>
    <row r="6" spans="1:37" s="7" customFormat="1" x14ac:dyDescent="0.2">
      <c r="A6" s="7" t="s">
        <v>32</v>
      </c>
      <c r="B6" s="7" t="s">
        <v>33</v>
      </c>
      <c r="C6" s="12" t="s">
        <v>209</v>
      </c>
      <c r="D6" s="7" t="str">
        <f>VLOOKUP(A6,Sheet2!A:C,2,0)</f>
        <v>REL</v>
      </c>
      <c r="E6" s="7" t="str">
        <f>VLOOKUP(A6,Sheet2!A:C,3,0)</f>
        <v>WACT</v>
      </c>
      <c r="F6" s="15" t="s">
        <v>5</v>
      </c>
      <c r="G6" s="11" t="str">
        <f>VLOOKUP(A6,Sheet2!A:D,4,0)</f>
        <v>P290000</v>
      </c>
      <c r="H6" s="7" t="s">
        <v>8</v>
      </c>
      <c r="I6" s="8">
        <v>44385</v>
      </c>
      <c r="J6" s="7" t="s">
        <v>6</v>
      </c>
      <c r="K6" s="7" t="s">
        <v>0</v>
      </c>
      <c r="L6" s="7" t="s">
        <v>34</v>
      </c>
      <c r="M6" s="8">
        <v>44385</v>
      </c>
      <c r="N6" s="8"/>
      <c r="O6" s="8"/>
      <c r="P6" s="8"/>
      <c r="Q6" s="7" t="s">
        <v>35</v>
      </c>
      <c r="R6" s="7" t="s">
        <v>0</v>
      </c>
      <c r="S6" s="8">
        <v>44202</v>
      </c>
      <c r="T6" s="8">
        <v>44670</v>
      </c>
      <c r="U6" s="7" t="s">
        <v>26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36</v>
      </c>
      <c r="AA6" s="7" t="s">
        <v>37</v>
      </c>
      <c r="AB6" s="7" t="s">
        <v>14</v>
      </c>
      <c r="AC6" s="9">
        <v>6</v>
      </c>
      <c r="AD6" s="8"/>
      <c r="AE6" s="8"/>
      <c r="AF6" s="8"/>
      <c r="AG6" s="7" t="s">
        <v>30</v>
      </c>
      <c r="AH6" s="10">
        <v>100</v>
      </c>
      <c r="AI6" s="8">
        <v>44385</v>
      </c>
      <c r="AJ6" s="8"/>
      <c r="AK6" s="7" t="s">
        <v>38</v>
      </c>
    </row>
    <row r="7" spans="1:37" s="7" customFormat="1" x14ac:dyDescent="0.2">
      <c r="A7" s="7" t="s">
        <v>39</v>
      </c>
      <c r="B7" s="7" t="s">
        <v>33</v>
      </c>
      <c r="C7" s="12" t="s">
        <v>209</v>
      </c>
      <c r="D7" s="7" t="str">
        <f>VLOOKUP(A7,Sheet2!A:C,2,0)</f>
        <v>REL</v>
      </c>
      <c r="E7" s="7" t="str">
        <f>VLOOKUP(A7,Sheet2!A:C,3,0)</f>
        <v>WACT</v>
      </c>
      <c r="F7" s="15" t="s">
        <v>5</v>
      </c>
      <c r="G7" s="11" t="str">
        <f>VLOOKUP(A7,Sheet2!A:D,4,0)</f>
        <v>P290000</v>
      </c>
      <c r="H7" s="7" t="s">
        <v>8</v>
      </c>
      <c r="I7" s="8">
        <v>44385</v>
      </c>
      <c r="J7" s="7" t="s">
        <v>6</v>
      </c>
      <c r="K7" s="7" t="s">
        <v>0</v>
      </c>
      <c r="L7" s="7" t="s">
        <v>40</v>
      </c>
      <c r="M7" s="8">
        <v>44385</v>
      </c>
      <c r="N7" s="8"/>
      <c r="O7" s="8"/>
      <c r="P7" s="8"/>
      <c r="Q7" s="7" t="s">
        <v>35</v>
      </c>
      <c r="R7" s="7" t="s">
        <v>0</v>
      </c>
      <c r="S7" s="8">
        <v>44202</v>
      </c>
      <c r="T7" s="8">
        <v>44670</v>
      </c>
      <c r="U7" s="7" t="s">
        <v>26</v>
      </c>
      <c r="V7" s="7" t="s">
        <v>41</v>
      </c>
      <c r="W7" s="7" t="s">
        <v>0</v>
      </c>
      <c r="X7" s="7" t="s">
        <v>0</v>
      </c>
      <c r="Y7" s="7" t="s">
        <v>0</v>
      </c>
      <c r="Z7" s="7" t="s">
        <v>36</v>
      </c>
      <c r="AA7" s="7" t="s">
        <v>37</v>
      </c>
      <c r="AB7" s="7" t="s">
        <v>14</v>
      </c>
      <c r="AC7" s="9">
        <v>6</v>
      </c>
      <c r="AD7" s="8"/>
      <c r="AE7" s="8"/>
      <c r="AF7" s="8"/>
      <c r="AG7" s="7" t="s">
        <v>30</v>
      </c>
      <c r="AH7" s="10">
        <v>100</v>
      </c>
      <c r="AI7" s="8">
        <v>44385</v>
      </c>
      <c r="AJ7" s="8"/>
      <c r="AK7" s="7" t="s">
        <v>42</v>
      </c>
    </row>
    <row r="8" spans="1:37" s="7" customFormat="1" x14ac:dyDescent="0.2">
      <c r="A8" s="7" t="s">
        <v>43</v>
      </c>
      <c r="B8" s="7" t="s">
        <v>44</v>
      </c>
      <c r="C8" s="12" t="s">
        <v>209</v>
      </c>
      <c r="D8" s="7" t="str">
        <f>VLOOKUP(A8,Sheet2!A:C,2,0)</f>
        <v>REL</v>
      </c>
      <c r="E8" s="7" t="str">
        <f>VLOOKUP(A8,Sheet2!A:C,3,0)</f>
        <v>WACT</v>
      </c>
      <c r="F8" s="15" t="s">
        <v>5</v>
      </c>
      <c r="G8" s="11" t="str">
        <f>VLOOKUP(A8,Sheet2!A:D,4,0)</f>
        <v>P290000</v>
      </c>
      <c r="H8" s="7" t="s">
        <v>8</v>
      </c>
      <c r="I8" s="8">
        <v>44431</v>
      </c>
      <c r="J8" s="7" t="s">
        <v>6</v>
      </c>
      <c r="K8" s="7" t="s">
        <v>0</v>
      </c>
      <c r="L8" s="7" t="s">
        <v>45</v>
      </c>
      <c r="M8" s="8">
        <v>44431</v>
      </c>
      <c r="N8" s="8"/>
      <c r="O8" s="8"/>
      <c r="P8" s="8"/>
      <c r="Q8" s="7" t="s">
        <v>35</v>
      </c>
      <c r="R8" s="7" t="s">
        <v>0</v>
      </c>
      <c r="S8" s="8">
        <v>44202</v>
      </c>
      <c r="T8" s="8">
        <v>44670</v>
      </c>
      <c r="U8" s="7" t="s">
        <v>10</v>
      </c>
      <c r="V8" s="7" t="s">
        <v>46</v>
      </c>
      <c r="W8" s="7" t="s">
        <v>0</v>
      </c>
      <c r="X8" s="7" t="s">
        <v>0</v>
      </c>
      <c r="Y8" s="7" t="s">
        <v>0</v>
      </c>
      <c r="Z8" s="7" t="s">
        <v>47</v>
      </c>
      <c r="AA8" s="7" t="s">
        <v>48</v>
      </c>
      <c r="AB8" s="7" t="s">
        <v>14</v>
      </c>
      <c r="AC8" s="9">
        <v>6</v>
      </c>
      <c r="AD8" s="8"/>
      <c r="AE8" s="8"/>
      <c r="AF8" s="8"/>
      <c r="AG8" s="7" t="s">
        <v>30</v>
      </c>
      <c r="AH8" s="10">
        <v>100</v>
      </c>
      <c r="AI8" s="8">
        <v>44501</v>
      </c>
      <c r="AJ8" s="8"/>
      <c r="AK8" s="7" t="s">
        <v>38</v>
      </c>
    </row>
    <row r="9" spans="1:37" s="7" customFormat="1" x14ac:dyDescent="0.2">
      <c r="A9" s="7" t="s">
        <v>49</v>
      </c>
      <c r="B9" s="7" t="s">
        <v>44</v>
      </c>
      <c r="C9" s="7" t="s">
        <v>208</v>
      </c>
      <c r="D9" s="7" t="str">
        <f>VLOOKUP(A9,Sheet2!A:C,2,0)</f>
        <v>REL</v>
      </c>
      <c r="E9" s="7" t="str">
        <f>VLOOKUP(A9,Sheet2!A:C,3,0)</f>
        <v>WACT</v>
      </c>
      <c r="F9" s="15" t="s">
        <v>5</v>
      </c>
      <c r="G9" s="11" t="str">
        <f>VLOOKUP(A9,Sheet2!A:D,4,0)</f>
        <v>P290000</v>
      </c>
      <c r="H9" s="7" t="s">
        <v>8</v>
      </c>
      <c r="I9" s="8">
        <v>44431</v>
      </c>
      <c r="J9" s="7" t="s">
        <v>6</v>
      </c>
      <c r="K9" s="7" t="s">
        <v>0</v>
      </c>
      <c r="L9" s="7" t="s">
        <v>50</v>
      </c>
      <c r="M9" s="8">
        <v>44431</v>
      </c>
      <c r="N9" s="8"/>
      <c r="O9" s="8"/>
      <c r="P9" s="8"/>
      <c r="Q9" s="7" t="s">
        <v>35</v>
      </c>
      <c r="R9" s="7" t="s">
        <v>0</v>
      </c>
      <c r="S9" s="8">
        <v>44202</v>
      </c>
      <c r="T9" s="8">
        <v>44670</v>
      </c>
      <c r="U9" s="7" t="s">
        <v>10</v>
      </c>
      <c r="V9" s="7" t="s">
        <v>46</v>
      </c>
      <c r="W9" s="7" t="s">
        <v>0</v>
      </c>
      <c r="X9" s="7" t="s">
        <v>0</v>
      </c>
      <c r="Y9" s="7" t="s">
        <v>0</v>
      </c>
      <c r="Z9" s="7" t="s">
        <v>47</v>
      </c>
      <c r="AA9" s="7" t="s">
        <v>48</v>
      </c>
      <c r="AB9" s="7" t="s">
        <v>14</v>
      </c>
      <c r="AC9" s="9">
        <v>6</v>
      </c>
      <c r="AD9" s="8"/>
      <c r="AE9" s="8"/>
      <c r="AF9" s="8"/>
      <c r="AG9" s="7" t="s">
        <v>30</v>
      </c>
      <c r="AH9" s="10">
        <v>100</v>
      </c>
      <c r="AI9" s="8">
        <v>44501</v>
      </c>
      <c r="AJ9" s="8"/>
      <c r="AK9" s="7" t="s">
        <v>42</v>
      </c>
    </row>
    <row r="10" spans="1:37" s="7" customFormat="1" x14ac:dyDescent="0.2">
      <c r="A10" s="7" t="s">
        <v>51</v>
      </c>
      <c r="B10" s="7" t="s">
        <v>52</v>
      </c>
      <c r="C10" s="12" t="s">
        <v>209</v>
      </c>
      <c r="D10" s="7" t="str">
        <f>VLOOKUP(A10,Sheet2!A:C,2,0)</f>
        <v>REL</v>
      </c>
      <c r="E10" s="7" t="str">
        <f>VLOOKUP(A10,Sheet2!A:C,3,0)</f>
        <v>WACT</v>
      </c>
      <c r="F10" s="15" t="s">
        <v>5</v>
      </c>
      <c r="G10" s="11" t="str">
        <f>VLOOKUP(A10,Sheet2!A:D,4,0)</f>
        <v>P490000</v>
      </c>
      <c r="H10" s="7" t="s">
        <v>8</v>
      </c>
      <c r="I10" s="8">
        <v>44602</v>
      </c>
      <c r="J10" s="7" t="s">
        <v>6</v>
      </c>
      <c r="K10" s="7" t="s">
        <v>0</v>
      </c>
      <c r="L10" s="7" t="s">
        <v>53</v>
      </c>
      <c r="M10" s="8">
        <v>44602</v>
      </c>
      <c r="N10" s="8"/>
      <c r="O10" s="8"/>
      <c r="P10" s="8"/>
      <c r="Q10" s="7" t="s">
        <v>54</v>
      </c>
      <c r="R10" s="7" t="s">
        <v>0</v>
      </c>
      <c r="S10" s="8">
        <v>44202</v>
      </c>
      <c r="T10" s="8">
        <v>44670</v>
      </c>
      <c r="U10" s="7" t="s">
        <v>26</v>
      </c>
      <c r="V10" s="7" t="s">
        <v>0</v>
      </c>
      <c r="W10" s="7" t="s">
        <v>0</v>
      </c>
      <c r="X10" s="7" t="s">
        <v>0</v>
      </c>
      <c r="Y10" s="7" t="s">
        <v>0</v>
      </c>
      <c r="Z10" s="7" t="s">
        <v>55</v>
      </c>
      <c r="AA10" s="7" t="s">
        <v>56</v>
      </c>
      <c r="AB10" s="7" t="s">
        <v>14</v>
      </c>
      <c r="AC10" s="9">
        <v>6</v>
      </c>
      <c r="AD10" s="8"/>
      <c r="AE10" s="8"/>
      <c r="AF10" s="8"/>
      <c r="AG10" s="7" t="s">
        <v>30</v>
      </c>
      <c r="AH10" s="10">
        <v>100</v>
      </c>
      <c r="AI10" s="8">
        <v>44602</v>
      </c>
      <c r="AJ10" s="8"/>
      <c r="AK10" s="7" t="s">
        <v>57</v>
      </c>
    </row>
    <row r="11" spans="1:37" s="7" customFormat="1" x14ac:dyDescent="0.2">
      <c r="A11" s="7" t="s">
        <v>58</v>
      </c>
      <c r="B11" s="7" t="s">
        <v>59</v>
      </c>
      <c r="C11" s="12" t="s">
        <v>209</v>
      </c>
      <c r="D11" s="7" t="str">
        <f>VLOOKUP(A11,Sheet2!A:C,2,0)</f>
        <v>REL</v>
      </c>
      <c r="E11" s="7" t="str">
        <f>VLOOKUP(A11,Sheet2!A:C,3,0)</f>
        <v>WACT</v>
      </c>
      <c r="F11" s="15" t="s">
        <v>5</v>
      </c>
      <c r="G11" s="11" t="str">
        <f>VLOOKUP(A11,Sheet2!A:D,4,0)</f>
        <v>P560000</v>
      </c>
      <c r="H11" s="7" t="s">
        <v>8</v>
      </c>
      <c r="I11" s="8">
        <v>44348</v>
      </c>
      <c r="J11" s="7" t="s">
        <v>6</v>
      </c>
      <c r="K11" s="7" t="s">
        <v>0</v>
      </c>
      <c r="L11" s="7" t="s">
        <v>7</v>
      </c>
      <c r="M11" s="8">
        <v>44348</v>
      </c>
      <c r="N11" s="8"/>
      <c r="O11" s="8"/>
      <c r="P11" s="8"/>
      <c r="Q11" s="7" t="s">
        <v>60</v>
      </c>
      <c r="R11" s="7" t="s">
        <v>0</v>
      </c>
      <c r="S11" s="8">
        <v>44202</v>
      </c>
      <c r="T11" s="8">
        <v>44670</v>
      </c>
      <c r="U11" s="7" t="s">
        <v>26</v>
      </c>
      <c r="V11" s="7" t="s">
        <v>61</v>
      </c>
      <c r="W11" s="7" t="s">
        <v>0</v>
      </c>
      <c r="X11" s="7" t="s">
        <v>0</v>
      </c>
      <c r="Y11" s="7" t="s">
        <v>0</v>
      </c>
      <c r="Z11" s="7" t="s">
        <v>19</v>
      </c>
      <c r="AA11" s="7" t="s">
        <v>20</v>
      </c>
      <c r="AB11" s="7" t="s">
        <v>14</v>
      </c>
      <c r="AC11" s="9">
        <v>6</v>
      </c>
      <c r="AD11" s="8"/>
      <c r="AE11" s="8"/>
      <c r="AF11" s="8"/>
      <c r="AG11" s="7" t="s">
        <v>30</v>
      </c>
      <c r="AH11" s="10">
        <v>100</v>
      </c>
      <c r="AI11" s="8">
        <v>44348</v>
      </c>
      <c r="AJ11" s="8"/>
      <c r="AK11" s="7" t="s">
        <v>62</v>
      </c>
    </row>
    <row r="12" spans="1:37" s="7" customFormat="1" x14ac:dyDescent="0.2">
      <c r="A12" s="7" t="s">
        <v>63</v>
      </c>
      <c r="B12" s="7" t="s">
        <v>64</v>
      </c>
      <c r="C12" s="7" t="s">
        <v>208</v>
      </c>
      <c r="D12" s="7" t="str">
        <f>VLOOKUP(A12,Sheet2!A:C,2,0)</f>
        <v>REL</v>
      </c>
      <c r="E12" s="7" t="str">
        <f>VLOOKUP(A12,Sheet2!A:C,3,0)</f>
        <v>WACT</v>
      </c>
      <c r="F12" s="15" t="s">
        <v>5</v>
      </c>
      <c r="G12" s="11" t="str">
        <f>VLOOKUP(A12,Sheet2!A:D,4,0)</f>
        <v>P570000</v>
      </c>
      <c r="H12" s="7" t="s">
        <v>8</v>
      </c>
      <c r="I12" s="8">
        <v>44364</v>
      </c>
      <c r="J12" s="7" t="s">
        <v>6</v>
      </c>
      <c r="K12" s="7" t="s">
        <v>0</v>
      </c>
      <c r="L12" s="7" t="s">
        <v>65</v>
      </c>
      <c r="M12" s="8">
        <v>44364</v>
      </c>
      <c r="N12" s="8"/>
      <c r="O12" s="8"/>
      <c r="P12" s="8"/>
      <c r="Q12" s="7" t="s">
        <v>66</v>
      </c>
      <c r="R12" s="7" t="s">
        <v>0</v>
      </c>
      <c r="S12" s="8">
        <v>44202</v>
      </c>
      <c r="T12" s="8">
        <v>44670</v>
      </c>
      <c r="U12" s="7" t="s">
        <v>67</v>
      </c>
      <c r="V12" s="7" t="s">
        <v>68</v>
      </c>
      <c r="W12" s="7" t="s">
        <v>0</v>
      </c>
      <c r="X12" s="7" t="s">
        <v>0</v>
      </c>
      <c r="Y12" s="7" t="s">
        <v>0</v>
      </c>
      <c r="Z12" s="7" t="s">
        <v>12</v>
      </c>
      <c r="AA12" s="7" t="s">
        <v>13</v>
      </c>
      <c r="AB12" s="7" t="s">
        <v>14</v>
      </c>
      <c r="AC12" s="9">
        <v>6</v>
      </c>
      <c r="AD12" s="8"/>
      <c r="AE12" s="8"/>
      <c r="AF12" s="8"/>
      <c r="AG12" s="7" t="s">
        <v>30</v>
      </c>
      <c r="AH12" s="10">
        <v>100</v>
      </c>
      <c r="AI12" s="8">
        <v>44375</v>
      </c>
      <c r="AJ12" s="8"/>
      <c r="AK12" s="7" t="s">
        <v>62</v>
      </c>
    </row>
    <row r="13" spans="1:37" s="7" customFormat="1" x14ac:dyDescent="0.2">
      <c r="A13" s="7" t="s">
        <v>69</v>
      </c>
      <c r="B13" s="7" t="s">
        <v>70</v>
      </c>
      <c r="C13" s="12" t="s">
        <v>209</v>
      </c>
      <c r="D13" s="7" t="str">
        <f>VLOOKUP(A13,Sheet2!A:C,2,0)</f>
        <v>REL</v>
      </c>
      <c r="E13" s="7" t="str">
        <f>VLOOKUP(A13,Sheet2!A:C,3,0)</f>
        <v>WACT</v>
      </c>
      <c r="F13" s="15" t="s">
        <v>5</v>
      </c>
      <c r="G13" s="11" t="str">
        <f>VLOOKUP(A13,Sheet2!A:D,4,0)</f>
        <v>P760000</v>
      </c>
      <c r="H13" s="7" t="s">
        <v>8</v>
      </c>
      <c r="I13" s="8">
        <v>44384</v>
      </c>
      <c r="J13" s="7" t="s">
        <v>6</v>
      </c>
      <c r="K13" s="7" t="s">
        <v>0</v>
      </c>
      <c r="L13" s="7" t="s">
        <v>71</v>
      </c>
      <c r="M13" s="8">
        <v>44384</v>
      </c>
      <c r="N13" s="8"/>
      <c r="O13" s="8"/>
      <c r="P13" s="8"/>
      <c r="Q13" s="7" t="s">
        <v>72</v>
      </c>
      <c r="R13" s="7" t="s">
        <v>0</v>
      </c>
      <c r="S13" s="8">
        <v>44202</v>
      </c>
      <c r="T13" s="8">
        <v>44670</v>
      </c>
      <c r="U13" s="7" t="s">
        <v>26</v>
      </c>
      <c r="V13" s="7" t="s">
        <v>73</v>
      </c>
      <c r="W13" s="7" t="s">
        <v>0</v>
      </c>
      <c r="X13" s="7" t="s">
        <v>0</v>
      </c>
      <c r="Y13" s="7" t="s">
        <v>0</v>
      </c>
      <c r="Z13" s="7" t="s">
        <v>12</v>
      </c>
      <c r="AA13" s="7" t="s">
        <v>13</v>
      </c>
      <c r="AB13" s="7" t="s">
        <v>14</v>
      </c>
      <c r="AC13" s="9">
        <v>6</v>
      </c>
      <c r="AD13" s="8"/>
      <c r="AE13" s="8"/>
      <c r="AF13" s="8"/>
      <c r="AG13" s="7" t="s">
        <v>30</v>
      </c>
      <c r="AH13" s="10">
        <v>100</v>
      </c>
      <c r="AI13" s="8">
        <v>44384</v>
      </c>
      <c r="AJ13" s="8"/>
      <c r="AK13" s="7" t="s">
        <v>74</v>
      </c>
    </row>
    <row r="14" spans="1:37" s="7" customFormat="1" x14ac:dyDescent="0.2">
      <c r="A14" s="7" t="s">
        <v>75</v>
      </c>
      <c r="B14" s="7" t="s">
        <v>76</v>
      </c>
      <c r="C14" s="12" t="s">
        <v>209</v>
      </c>
      <c r="D14" s="7" t="str">
        <f>VLOOKUP(A14,Sheet2!A:C,2,0)</f>
        <v>REL</v>
      </c>
      <c r="E14" s="7" t="str">
        <f>VLOOKUP(A14,Sheet2!A:C,3,0)</f>
        <v>WACT</v>
      </c>
      <c r="F14" s="15" t="s">
        <v>5</v>
      </c>
      <c r="G14" s="11" t="str">
        <f>VLOOKUP(A14,Sheet2!A:D,4,0)</f>
        <v>P760000</v>
      </c>
      <c r="H14" s="7" t="s">
        <v>8</v>
      </c>
      <c r="I14" s="8">
        <v>44384</v>
      </c>
      <c r="J14" s="7" t="s">
        <v>6</v>
      </c>
      <c r="K14" s="7" t="s">
        <v>0</v>
      </c>
      <c r="L14" s="7" t="s">
        <v>77</v>
      </c>
      <c r="M14" s="8">
        <v>44384</v>
      </c>
      <c r="N14" s="8"/>
      <c r="O14" s="8"/>
      <c r="P14" s="8"/>
      <c r="Q14" s="7" t="s">
        <v>72</v>
      </c>
      <c r="R14" s="7" t="s">
        <v>0</v>
      </c>
      <c r="S14" s="8">
        <v>44202</v>
      </c>
      <c r="T14" s="8">
        <v>44670</v>
      </c>
      <c r="U14" s="7" t="s">
        <v>26</v>
      </c>
      <c r="V14" s="7" t="s">
        <v>73</v>
      </c>
      <c r="W14" s="7" t="s">
        <v>0</v>
      </c>
      <c r="X14" s="7" t="s">
        <v>0</v>
      </c>
      <c r="Y14" s="7" t="s">
        <v>0</v>
      </c>
      <c r="Z14" s="7" t="s">
        <v>12</v>
      </c>
      <c r="AA14" s="7" t="s">
        <v>13</v>
      </c>
      <c r="AB14" s="7" t="s">
        <v>14</v>
      </c>
      <c r="AC14" s="9">
        <v>6</v>
      </c>
      <c r="AD14" s="8"/>
      <c r="AE14" s="8"/>
      <c r="AF14" s="8"/>
      <c r="AG14" s="7" t="s">
        <v>30</v>
      </c>
      <c r="AH14" s="10">
        <v>100</v>
      </c>
      <c r="AI14" s="8">
        <v>44384</v>
      </c>
      <c r="AJ14" s="8"/>
      <c r="AK14" s="7" t="s">
        <v>62</v>
      </c>
    </row>
    <row r="15" spans="1:37" s="7" customFormat="1" x14ac:dyDescent="0.2">
      <c r="A15" s="7" t="s">
        <v>78</v>
      </c>
      <c r="B15" s="7" t="s">
        <v>79</v>
      </c>
      <c r="C15" s="12" t="s">
        <v>209</v>
      </c>
      <c r="D15" s="7" t="str">
        <f>VLOOKUP(A15,Sheet2!A:C,2,0)</f>
        <v>REL</v>
      </c>
      <c r="E15" s="7" t="str">
        <f>VLOOKUP(A15,Sheet2!A:C,3,0)</f>
        <v>WACT</v>
      </c>
      <c r="F15" s="15" t="s">
        <v>5</v>
      </c>
      <c r="G15" s="11" t="str">
        <f>VLOOKUP(A15,Sheet2!A:D,4,0)</f>
        <v>P760000</v>
      </c>
      <c r="H15" s="7" t="s">
        <v>8</v>
      </c>
      <c r="I15" s="8">
        <v>44384</v>
      </c>
      <c r="J15" s="7" t="s">
        <v>6</v>
      </c>
      <c r="K15" s="7" t="s">
        <v>0</v>
      </c>
      <c r="L15" s="7" t="s">
        <v>80</v>
      </c>
      <c r="M15" s="8">
        <v>44384</v>
      </c>
      <c r="N15" s="8"/>
      <c r="O15" s="8"/>
      <c r="P15" s="8"/>
      <c r="Q15" s="7" t="s">
        <v>72</v>
      </c>
      <c r="R15" s="7" t="s">
        <v>0</v>
      </c>
      <c r="S15" s="8">
        <v>44202</v>
      </c>
      <c r="T15" s="8">
        <v>44670</v>
      </c>
      <c r="U15" s="7" t="s">
        <v>26</v>
      </c>
      <c r="V15" s="7" t="s">
        <v>0</v>
      </c>
      <c r="W15" s="7" t="s">
        <v>0</v>
      </c>
      <c r="X15" s="7" t="s">
        <v>0</v>
      </c>
      <c r="Y15" s="7" t="s">
        <v>0</v>
      </c>
      <c r="Z15" s="7" t="s">
        <v>12</v>
      </c>
      <c r="AA15" s="7" t="s">
        <v>13</v>
      </c>
      <c r="AB15" s="7" t="s">
        <v>14</v>
      </c>
      <c r="AC15" s="9">
        <v>6</v>
      </c>
      <c r="AD15" s="8"/>
      <c r="AE15" s="8"/>
      <c r="AF15" s="8"/>
      <c r="AG15" s="7" t="s">
        <v>30</v>
      </c>
      <c r="AH15" s="10">
        <v>100</v>
      </c>
      <c r="AI15" s="8">
        <v>44384</v>
      </c>
      <c r="AJ15" s="8"/>
      <c r="AK15" s="7" t="s">
        <v>74</v>
      </c>
    </row>
    <row r="16" spans="1:37" s="7" customFormat="1" x14ac:dyDescent="0.2">
      <c r="A16" s="7" t="s">
        <v>81</v>
      </c>
      <c r="B16" s="7" t="s">
        <v>79</v>
      </c>
      <c r="C16" s="12" t="s">
        <v>209</v>
      </c>
      <c r="D16" s="7" t="str">
        <f>VLOOKUP(A16,Sheet2!A:C,2,0)</f>
        <v>REL</v>
      </c>
      <c r="E16" s="7" t="str">
        <f>VLOOKUP(A16,Sheet2!A:C,3,0)</f>
        <v>WACT</v>
      </c>
      <c r="F16" s="15" t="s">
        <v>5</v>
      </c>
      <c r="G16" s="11" t="str">
        <f>VLOOKUP(A16,Sheet2!A:D,4,0)</f>
        <v>P760000</v>
      </c>
      <c r="H16" s="7" t="s">
        <v>8</v>
      </c>
      <c r="I16" s="8">
        <v>44384</v>
      </c>
      <c r="J16" s="7" t="s">
        <v>6</v>
      </c>
      <c r="K16" s="7" t="s">
        <v>0</v>
      </c>
      <c r="L16" s="7" t="s">
        <v>77</v>
      </c>
      <c r="M16" s="8">
        <v>44384</v>
      </c>
      <c r="N16" s="8"/>
      <c r="O16" s="8"/>
      <c r="P16" s="8"/>
      <c r="Q16" s="7" t="s">
        <v>72</v>
      </c>
      <c r="R16" s="7" t="s">
        <v>0</v>
      </c>
      <c r="S16" s="8">
        <v>44202</v>
      </c>
      <c r="T16" s="8">
        <v>44670</v>
      </c>
      <c r="U16" s="7" t="s">
        <v>26</v>
      </c>
      <c r="V16" s="7" t="s">
        <v>73</v>
      </c>
      <c r="W16" s="7" t="s">
        <v>0</v>
      </c>
      <c r="X16" s="7" t="s">
        <v>0</v>
      </c>
      <c r="Y16" s="7" t="s">
        <v>0</v>
      </c>
      <c r="Z16" s="7" t="s">
        <v>12</v>
      </c>
      <c r="AA16" s="7" t="s">
        <v>13</v>
      </c>
      <c r="AB16" s="7" t="s">
        <v>14</v>
      </c>
      <c r="AC16" s="9">
        <v>6</v>
      </c>
      <c r="AD16" s="8"/>
      <c r="AE16" s="8"/>
      <c r="AF16" s="8"/>
      <c r="AG16" s="7" t="s">
        <v>30</v>
      </c>
      <c r="AH16" s="10">
        <v>100</v>
      </c>
      <c r="AI16" s="8">
        <v>44384</v>
      </c>
      <c r="AJ16" s="8"/>
      <c r="AK16" s="7" t="s">
        <v>62</v>
      </c>
    </row>
    <row r="17" spans="1:37" s="7" customFormat="1" x14ac:dyDescent="0.2">
      <c r="A17" s="7" t="s">
        <v>82</v>
      </c>
      <c r="B17" s="7" t="s">
        <v>83</v>
      </c>
      <c r="C17" s="12" t="s">
        <v>209</v>
      </c>
      <c r="D17" s="7" t="str">
        <f>VLOOKUP(A17,Sheet2!A:C,2,0)</f>
        <v>REL</v>
      </c>
      <c r="E17" s="7" t="str">
        <f>VLOOKUP(A17,Sheet2!A:C,3,0)</f>
        <v>WACT</v>
      </c>
      <c r="F17" s="15" t="s">
        <v>5</v>
      </c>
      <c r="G17" s="11" t="str">
        <f>VLOOKUP(A17,Sheet2!A:D,4,0)</f>
        <v>P760000</v>
      </c>
      <c r="H17" s="7" t="s">
        <v>8</v>
      </c>
      <c r="I17" s="8">
        <v>44384</v>
      </c>
      <c r="J17" s="7" t="s">
        <v>6</v>
      </c>
      <c r="K17" s="7" t="s">
        <v>0</v>
      </c>
      <c r="L17" s="7" t="s">
        <v>80</v>
      </c>
      <c r="M17" s="8">
        <v>44384</v>
      </c>
      <c r="N17" s="8"/>
      <c r="O17" s="8"/>
      <c r="P17" s="8"/>
      <c r="Q17" s="7" t="s">
        <v>72</v>
      </c>
      <c r="R17" s="7" t="s">
        <v>0</v>
      </c>
      <c r="S17" s="8">
        <v>44202</v>
      </c>
      <c r="T17" s="8">
        <v>44670</v>
      </c>
      <c r="U17" s="7" t="s">
        <v>26</v>
      </c>
      <c r="V17" s="7" t="s">
        <v>73</v>
      </c>
      <c r="W17" s="7" t="s">
        <v>0</v>
      </c>
      <c r="X17" s="7" t="s">
        <v>0</v>
      </c>
      <c r="Y17" s="7" t="s">
        <v>0</v>
      </c>
      <c r="Z17" s="7" t="s">
        <v>12</v>
      </c>
      <c r="AA17" s="7" t="s">
        <v>13</v>
      </c>
      <c r="AB17" s="7" t="s">
        <v>14</v>
      </c>
      <c r="AC17" s="9">
        <v>6</v>
      </c>
      <c r="AD17" s="8"/>
      <c r="AE17" s="8"/>
      <c r="AF17" s="8"/>
      <c r="AG17" s="7" t="s">
        <v>30</v>
      </c>
      <c r="AH17" s="10">
        <v>100</v>
      </c>
      <c r="AI17" s="8">
        <v>44384</v>
      </c>
      <c r="AJ17" s="8"/>
      <c r="AK17" s="7" t="s">
        <v>74</v>
      </c>
    </row>
    <row r="18" spans="1:37" s="7" customFormat="1" x14ac:dyDescent="0.2">
      <c r="A18" s="7" t="s">
        <v>84</v>
      </c>
      <c r="B18" s="7" t="s">
        <v>83</v>
      </c>
      <c r="C18" s="7" t="s">
        <v>208</v>
      </c>
      <c r="D18" s="7" t="str">
        <f>VLOOKUP(A18,Sheet2!A:C,2,0)</f>
        <v>REL</v>
      </c>
      <c r="E18" s="7" t="str">
        <f>VLOOKUP(A18,Sheet2!A:C,3,0)</f>
        <v>WACT</v>
      </c>
      <c r="F18" s="15" t="s">
        <v>5</v>
      </c>
      <c r="G18" s="11" t="str">
        <f>VLOOKUP(A18,Sheet2!A:D,4,0)</f>
        <v>P760000</v>
      </c>
      <c r="H18" s="7" t="s">
        <v>8</v>
      </c>
      <c r="I18" s="8">
        <v>44384</v>
      </c>
      <c r="J18" s="7" t="s">
        <v>6</v>
      </c>
      <c r="K18" s="7" t="s">
        <v>0</v>
      </c>
      <c r="L18" s="7" t="s">
        <v>77</v>
      </c>
      <c r="M18" s="8">
        <v>44384</v>
      </c>
      <c r="N18" s="8"/>
      <c r="O18" s="8"/>
      <c r="P18" s="8"/>
      <c r="Q18" s="7" t="s">
        <v>72</v>
      </c>
      <c r="R18" s="7" t="s">
        <v>0</v>
      </c>
      <c r="S18" s="8">
        <v>44202</v>
      </c>
      <c r="T18" s="8">
        <v>44670</v>
      </c>
      <c r="U18" s="7" t="s">
        <v>26</v>
      </c>
      <c r="V18" s="7" t="s">
        <v>73</v>
      </c>
      <c r="W18" s="7" t="s">
        <v>0</v>
      </c>
      <c r="X18" s="7" t="s">
        <v>0</v>
      </c>
      <c r="Y18" s="7" t="s">
        <v>0</v>
      </c>
      <c r="Z18" s="7" t="s">
        <v>12</v>
      </c>
      <c r="AA18" s="7" t="s">
        <v>13</v>
      </c>
      <c r="AB18" s="7" t="s">
        <v>14</v>
      </c>
      <c r="AC18" s="9">
        <v>6</v>
      </c>
      <c r="AD18" s="8"/>
      <c r="AE18" s="8"/>
      <c r="AF18" s="8"/>
      <c r="AG18" s="7" t="s">
        <v>30</v>
      </c>
      <c r="AH18" s="10">
        <v>100</v>
      </c>
      <c r="AI18" s="8">
        <v>44384</v>
      </c>
      <c r="AJ18" s="8"/>
      <c r="AK18" s="7" t="s">
        <v>62</v>
      </c>
    </row>
    <row r="19" spans="1:37" s="7" customFormat="1" x14ac:dyDescent="0.2">
      <c r="A19" s="7" t="s">
        <v>85</v>
      </c>
      <c r="B19" s="7" t="s">
        <v>86</v>
      </c>
      <c r="C19" s="7" t="s">
        <v>208</v>
      </c>
      <c r="D19" s="7" t="str">
        <f>VLOOKUP(A19,Sheet2!A:C,2,0)</f>
        <v>REL</v>
      </c>
      <c r="E19" s="7" t="str">
        <f>VLOOKUP(A19,Sheet2!A:C,3,0)</f>
        <v>WACT</v>
      </c>
      <c r="F19" s="15" t="s">
        <v>5</v>
      </c>
      <c r="G19" s="11" t="str">
        <f>VLOOKUP(A19,Sheet2!A:D,4,0)</f>
        <v>P550000</v>
      </c>
      <c r="H19" s="7" t="s">
        <v>8</v>
      </c>
      <c r="I19" s="8">
        <v>44512</v>
      </c>
      <c r="J19" s="7" t="s">
        <v>6</v>
      </c>
      <c r="K19" s="7" t="s">
        <v>0</v>
      </c>
      <c r="L19" s="7" t="s">
        <v>87</v>
      </c>
      <c r="M19" s="8">
        <v>44512</v>
      </c>
      <c r="N19" s="8"/>
      <c r="O19" s="8"/>
      <c r="P19" s="8"/>
      <c r="Q19" s="7" t="s">
        <v>88</v>
      </c>
      <c r="R19" s="7" t="s">
        <v>46</v>
      </c>
      <c r="S19" s="8">
        <v>44202</v>
      </c>
      <c r="T19" s="8">
        <v>44670</v>
      </c>
      <c r="U19" s="7" t="s">
        <v>67</v>
      </c>
      <c r="V19" s="7" t="s">
        <v>46</v>
      </c>
      <c r="W19" s="7" t="s">
        <v>0</v>
      </c>
      <c r="X19" s="7" t="s">
        <v>0</v>
      </c>
      <c r="Y19" s="7" t="s">
        <v>0</v>
      </c>
      <c r="Z19" s="7" t="s">
        <v>12</v>
      </c>
      <c r="AA19" s="7" t="s">
        <v>13</v>
      </c>
      <c r="AB19" s="7" t="s">
        <v>14</v>
      </c>
      <c r="AC19" s="9">
        <v>6</v>
      </c>
      <c r="AD19" s="8"/>
      <c r="AE19" s="8"/>
      <c r="AF19" s="8"/>
      <c r="AG19" s="7" t="s">
        <v>30</v>
      </c>
      <c r="AH19" s="10">
        <v>100</v>
      </c>
      <c r="AI19" s="8">
        <v>44512</v>
      </c>
      <c r="AJ19" s="8"/>
      <c r="AK19" s="7" t="s">
        <v>74</v>
      </c>
    </row>
    <row r="20" spans="1:37" s="7" customFormat="1" x14ac:dyDescent="0.2">
      <c r="A20" s="7" t="s">
        <v>89</v>
      </c>
      <c r="B20" s="7" t="s">
        <v>86</v>
      </c>
      <c r="C20" s="7" t="s">
        <v>208</v>
      </c>
      <c r="D20" s="7" t="str">
        <f>VLOOKUP(A20,Sheet2!A:C,2,0)</f>
        <v>REL</v>
      </c>
      <c r="E20" s="7" t="str">
        <f>VLOOKUP(A20,Sheet2!A:C,3,0)</f>
        <v>WACT</v>
      </c>
      <c r="F20" s="15" t="s">
        <v>5</v>
      </c>
      <c r="G20" s="11" t="str">
        <f>VLOOKUP(A20,Sheet2!A:D,4,0)</f>
        <v>P550000</v>
      </c>
      <c r="H20" s="7" t="s">
        <v>8</v>
      </c>
      <c r="I20" s="8">
        <v>44512</v>
      </c>
      <c r="J20" s="7" t="s">
        <v>6</v>
      </c>
      <c r="K20" s="7" t="s">
        <v>0</v>
      </c>
      <c r="L20" s="7" t="s">
        <v>90</v>
      </c>
      <c r="M20" s="8">
        <v>44512</v>
      </c>
      <c r="N20" s="8"/>
      <c r="O20" s="8"/>
      <c r="P20" s="8"/>
      <c r="Q20" s="7" t="s">
        <v>88</v>
      </c>
      <c r="R20" s="7" t="s">
        <v>46</v>
      </c>
      <c r="S20" s="8">
        <v>44202</v>
      </c>
      <c r="T20" s="8">
        <v>44670</v>
      </c>
      <c r="U20" s="7" t="s">
        <v>67</v>
      </c>
      <c r="V20" s="7" t="s">
        <v>46</v>
      </c>
      <c r="W20" s="7" t="s">
        <v>0</v>
      </c>
      <c r="X20" s="7" t="s">
        <v>0</v>
      </c>
      <c r="Y20" s="7" t="s">
        <v>0</v>
      </c>
      <c r="Z20" s="7" t="s">
        <v>12</v>
      </c>
      <c r="AA20" s="7" t="s">
        <v>13</v>
      </c>
      <c r="AB20" s="7" t="s">
        <v>14</v>
      </c>
      <c r="AC20" s="9">
        <v>6</v>
      </c>
      <c r="AD20" s="8"/>
      <c r="AE20" s="8"/>
      <c r="AF20" s="8"/>
      <c r="AG20" s="7" t="s">
        <v>30</v>
      </c>
      <c r="AH20" s="10">
        <v>100</v>
      </c>
      <c r="AI20" s="8">
        <v>44512</v>
      </c>
      <c r="AJ20" s="8"/>
      <c r="AK20" s="7" t="s">
        <v>62</v>
      </c>
    </row>
    <row r="21" spans="1:37" s="7" customFormat="1" x14ac:dyDescent="0.2">
      <c r="A21" s="7" t="s">
        <v>91</v>
      </c>
      <c r="B21" s="7" t="s">
        <v>92</v>
      </c>
      <c r="C21" s="12" t="s">
        <v>209</v>
      </c>
      <c r="D21" s="7" t="str">
        <f>VLOOKUP(A21,Sheet2!A:C,2,0)</f>
        <v>REL</v>
      </c>
      <c r="E21" s="7" t="str">
        <f>VLOOKUP(A21,Sheet2!A:C,3,0)</f>
        <v>WACT</v>
      </c>
      <c r="F21" s="15" t="s">
        <v>5</v>
      </c>
      <c r="G21" s="11" t="str">
        <f>VLOOKUP(A21,Sheet2!A:D,4,0)</f>
        <v>P800000</v>
      </c>
      <c r="H21" s="7" t="s">
        <v>8</v>
      </c>
      <c r="I21" s="8">
        <v>44356</v>
      </c>
      <c r="J21" s="7" t="s">
        <v>6</v>
      </c>
      <c r="K21" s="7" t="s">
        <v>0</v>
      </c>
      <c r="L21" s="7" t="s">
        <v>7</v>
      </c>
      <c r="M21" s="8">
        <v>44356</v>
      </c>
      <c r="N21" s="8"/>
      <c r="O21" s="8"/>
      <c r="P21" s="8"/>
      <c r="Q21" s="7" t="s">
        <v>93</v>
      </c>
      <c r="R21" s="7" t="s">
        <v>0</v>
      </c>
      <c r="S21" s="8">
        <v>44190</v>
      </c>
      <c r="T21" s="8">
        <v>44740</v>
      </c>
      <c r="U21" s="7" t="s">
        <v>10</v>
      </c>
      <c r="V21" s="7" t="s">
        <v>0</v>
      </c>
      <c r="W21" s="7" t="s">
        <v>94</v>
      </c>
      <c r="X21" s="7" t="s">
        <v>0</v>
      </c>
      <c r="Y21" s="7" t="s">
        <v>0</v>
      </c>
      <c r="Z21" s="7" t="s">
        <v>55</v>
      </c>
      <c r="AA21" s="7" t="s">
        <v>56</v>
      </c>
      <c r="AB21" s="7" t="s">
        <v>14</v>
      </c>
      <c r="AC21" s="9">
        <v>6</v>
      </c>
      <c r="AD21" s="8"/>
      <c r="AE21" s="8"/>
      <c r="AF21" s="8"/>
      <c r="AG21" s="7" t="s">
        <v>95</v>
      </c>
      <c r="AH21" s="10">
        <v>100</v>
      </c>
      <c r="AI21" s="8">
        <v>44356</v>
      </c>
      <c r="AJ21" s="8"/>
      <c r="AK21" s="7" t="s">
        <v>57</v>
      </c>
    </row>
    <row r="22" spans="1:37" s="7" customFormat="1" x14ac:dyDescent="0.2">
      <c r="A22" s="7" t="s">
        <v>96</v>
      </c>
      <c r="B22" s="7" t="s">
        <v>97</v>
      </c>
      <c r="C22" s="12" t="s">
        <v>209</v>
      </c>
      <c r="D22" s="7" t="str">
        <f>VLOOKUP(A22,Sheet2!A:C,2,0)</f>
        <v>REL</v>
      </c>
      <c r="E22" s="7" t="str">
        <f>VLOOKUP(A22,Sheet2!A:C,3,0)</f>
        <v>WCLS</v>
      </c>
      <c r="F22" s="15" t="s">
        <v>5</v>
      </c>
      <c r="G22" s="11" t="str">
        <f>VLOOKUP(A22,Sheet2!A:D,4,0)</f>
        <v>P560000</v>
      </c>
      <c r="H22" s="7" t="s">
        <v>100</v>
      </c>
      <c r="I22" s="8">
        <v>44533</v>
      </c>
      <c r="J22" s="7" t="s">
        <v>6</v>
      </c>
      <c r="K22" s="7" t="s">
        <v>0</v>
      </c>
      <c r="L22" s="7" t="s">
        <v>99</v>
      </c>
      <c r="M22" s="8">
        <v>44533</v>
      </c>
      <c r="N22" s="8"/>
      <c r="O22" s="8"/>
      <c r="P22" s="8"/>
      <c r="Q22" s="7" t="s">
        <v>35</v>
      </c>
      <c r="R22" s="7" t="s">
        <v>0</v>
      </c>
      <c r="S22" s="8">
        <v>44190</v>
      </c>
      <c r="T22" s="8">
        <v>44740</v>
      </c>
      <c r="U22" s="7" t="s">
        <v>10</v>
      </c>
      <c r="V22" s="7" t="s">
        <v>0</v>
      </c>
      <c r="W22" s="7" t="s">
        <v>94</v>
      </c>
      <c r="X22" s="7" t="s">
        <v>0</v>
      </c>
      <c r="Y22" s="7" t="s">
        <v>0</v>
      </c>
      <c r="Z22" s="7" t="s">
        <v>55</v>
      </c>
      <c r="AA22" s="7" t="s">
        <v>56</v>
      </c>
      <c r="AB22" s="7" t="s">
        <v>14</v>
      </c>
      <c r="AC22" s="9">
        <v>6</v>
      </c>
      <c r="AD22" s="8"/>
      <c r="AE22" s="8"/>
      <c r="AF22" s="8"/>
      <c r="AG22" s="7" t="s">
        <v>95</v>
      </c>
      <c r="AH22" s="10">
        <v>100</v>
      </c>
      <c r="AI22" s="8">
        <v>44533</v>
      </c>
      <c r="AJ22" s="8">
        <v>44736</v>
      </c>
      <c r="AK22" s="7" t="s">
        <v>57</v>
      </c>
    </row>
    <row r="23" spans="1:37" x14ac:dyDescent="0.2">
      <c r="A23" t="s">
        <v>101</v>
      </c>
      <c r="B23" t="s">
        <v>102</v>
      </c>
      <c r="C23" t="s">
        <v>208</v>
      </c>
      <c r="D23" t="str">
        <f>VLOOKUP(A23,Sheet2!A:C,2,0)</f>
        <v>REL</v>
      </c>
      <c r="E23" t="str">
        <f>VLOOKUP(A23,Sheet2!A:C,3,0)</f>
        <v>BGPR</v>
      </c>
      <c r="F23" s="15" t="s">
        <v>5</v>
      </c>
      <c r="G23" t="str">
        <f>VLOOKUP(A23,Sheet2!A:D,4,0)</f>
        <v>P490000</v>
      </c>
      <c r="H23" t="s">
        <v>100</v>
      </c>
      <c r="I23" s="2">
        <v>44310</v>
      </c>
      <c r="J23" t="s">
        <v>6</v>
      </c>
      <c r="K23" t="s">
        <v>0</v>
      </c>
      <c r="L23" t="s">
        <v>103</v>
      </c>
      <c r="M23" s="2">
        <v>44310</v>
      </c>
      <c r="N23" s="2"/>
      <c r="O23" s="2"/>
      <c r="P23" s="2"/>
      <c r="Q23" t="s">
        <v>35</v>
      </c>
      <c r="R23" t="s">
        <v>0</v>
      </c>
      <c r="S23" s="2">
        <v>44190</v>
      </c>
      <c r="T23" s="2">
        <v>44740</v>
      </c>
      <c r="U23" t="s">
        <v>10</v>
      </c>
      <c r="V23" t="s">
        <v>0</v>
      </c>
      <c r="W23" t="s">
        <v>94</v>
      </c>
      <c r="X23" t="s">
        <v>0</v>
      </c>
      <c r="Y23" t="s">
        <v>0</v>
      </c>
      <c r="Z23" t="s">
        <v>55</v>
      </c>
      <c r="AA23" t="s">
        <v>56</v>
      </c>
      <c r="AB23" t="s">
        <v>14</v>
      </c>
      <c r="AC23" s="3">
        <v>6</v>
      </c>
      <c r="AD23" s="2"/>
      <c r="AE23" s="2"/>
      <c r="AF23" s="2"/>
      <c r="AG23" t="s">
        <v>95</v>
      </c>
      <c r="AH23" s="4">
        <v>100</v>
      </c>
      <c r="AI23" s="2"/>
      <c r="AJ23" s="2"/>
      <c r="AK23" t="s">
        <v>0</v>
      </c>
    </row>
    <row r="24" spans="1:37" x14ac:dyDescent="0.2">
      <c r="A24" t="s">
        <v>104</v>
      </c>
      <c r="B24" t="s">
        <v>105</v>
      </c>
      <c r="C24" t="s">
        <v>208</v>
      </c>
      <c r="D24" t="str">
        <f>VLOOKUP(A24,Sheet2!A:C,2,0)</f>
        <v>REL</v>
      </c>
      <c r="E24" t="str">
        <f>VLOOKUP(A24,Sheet2!A:C,3,0)</f>
        <v>BGPR</v>
      </c>
      <c r="F24" s="15" t="s">
        <v>5</v>
      </c>
      <c r="G24" t="str">
        <f>VLOOKUP(A24,Sheet2!A:D,4,0)</f>
        <v>P490000</v>
      </c>
      <c r="H24" t="s">
        <v>100</v>
      </c>
      <c r="I24" s="2">
        <v>44310</v>
      </c>
      <c r="J24" t="s">
        <v>6</v>
      </c>
      <c r="K24" t="s">
        <v>0</v>
      </c>
      <c r="L24" t="s">
        <v>106</v>
      </c>
      <c r="M24" s="2">
        <v>44310</v>
      </c>
      <c r="N24" s="2"/>
      <c r="O24" s="2"/>
      <c r="P24" s="2"/>
      <c r="Q24" t="s">
        <v>35</v>
      </c>
      <c r="R24" t="s">
        <v>0</v>
      </c>
      <c r="S24" s="2">
        <v>44190</v>
      </c>
      <c r="T24" s="2">
        <v>44740</v>
      </c>
      <c r="U24" t="s">
        <v>10</v>
      </c>
      <c r="V24" t="s">
        <v>0</v>
      </c>
      <c r="W24" t="s">
        <v>94</v>
      </c>
      <c r="X24" t="s">
        <v>0</v>
      </c>
      <c r="Y24" t="s">
        <v>0</v>
      </c>
      <c r="Z24" t="s">
        <v>55</v>
      </c>
      <c r="AA24" t="s">
        <v>56</v>
      </c>
      <c r="AB24" t="s">
        <v>14</v>
      </c>
      <c r="AC24" s="3">
        <v>6</v>
      </c>
      <c r="AD24" s="2"/>
      <c r="AE24" s="2"/>
      <c r="AF24" s="2"/>
      <c r="AG24" t="s">
        <v>95</v>
      </c>
      <c r="AH24" s="4">
        <v>100</v>
      </c>
      <c r="AI24" s="2"/>
      <c r="AJ24" s="2"/>
      <c r="AK24" t="s">
        <v>0</v>
      </c>
    </row>
    <row r="25" spans="1:37" x14ac:dyDescent="0.2">
      <c r="A25" t="s">
        <v>107</v>
      </c>
      <c r="B25" t="s">
        <v>108</v>
      </c>
      <c r="C25" t="s">
        <v>208</v>
      </c>
      <c r="D25" t="str">
        <f>VLOOKUP(A25,Sheet2!A:C,2,0)</f>
        <v>REL</v>
      </c>
      <c r="E25" t="str">
        <f>VLOOKUP(A25,Sheet2!A:C,3,0)</f>
        <v>BGPR</v>
      </c>
      <c r="F25" s="15" t="s">
        <v>5</v>
      </c>
      <c r="G25" t="str">
        <f>VLOOKUP(A25,Sheet2!A:D,4,0)</f>
        <v>P490000</v>
      </c>
      <c r="H25" t="s">
        <v>100</v>
      </c>
      <c r="I25" s="2">
        <v>44310</v>
      </c>
      <c r="J25" t="s">
        <v>6</v>
      </c>
      <c r="K25" t="s">
        <v>0</v>
      </c>
      <c r="L25" t="s">
        <v>109</v>
      </c>
      <c r="M25" s="2">
        <v>44310</v>
      </c>
      <c r="N25" s="2"/>
      <c r="O25" s="2"/>
      <c r="P25" s="2"/>
      <c r="Q25" t="s">
        <v>35</v>
      </c>
      <c r="R25" t="s">
        <v>0</v>
      </c>
      <c r="S25" s="2">
        <v>44190</v>
      </c>
      <c r="T25" s="2">
        <v>44740</v>
      </c>
      <c r="U25" t="s">
        <v>10</v>
      </c>
      <c r="V25" t="s">
        <v>0</v>
      </c>
      <c r="W25" t="s">
        <v>94</v>
      </c>
      <c r="X25" t="s">
        <v>0</v>
      </c>
      <c r="Y25" t="s">
        <v>0</v>
      </c>
      <c r="Z25" t="s">
        <v>55</v>
      </c>
      <c r="AA25" t="s">
        <v>56</v>
      </c>
      <c r="AB25" t="s">
        <v>14</v>
      </c>
      <c r="AC25" s="3">
        <v>6</v>
      </c>
      <c r="AD25" s="2"/>
      <c r="AE25" s="2"/>
      <c r="AF25" s="2"/>
      <c r="AG25" t="s">
        <v>95</v>
      </c>
      <c r="AH25" s="4">
        <v>100</v>
      </c>
      <c r="AI25" s="2"/>
      <c r="AJ25" s="2"/>
      <c r="AK25" t="s">
        <v>0</v>
      </c>
    </row>
    <row r="26" spans="1:37" x14ac:dyDescent="0.2">
      <c r="A26" t="s">
        <v>110</v>
      </c>
      <c r="B26" t="s">
        <v>111</v>
      </c>
      <c r="C26" t="s">
        <v>208</v>
      </c>
      <c r="D26" t="str">
        <f>VLOOKUP(A26,Sheet2!A:C,2,0)</f>
        <v>REL</v>
      </c>
      <c r="E26" t="str">
        <f>VLOOKUP(A26,Sheet2!A:C,3,0)</f>
        <v>BGPR</v>
      </c>
      <c r="F26" s="15" t="s">
        <v>5</v>
      </c>
      <c r="G26" t="str">
        <f>VLOOKUP(A26,Sheet2!A:D,4,0)</f>
        <v>P490000</v>
      </c>
      <c r="H26" t="s">
        <v>100</v>
      </c>
      <c r="I26" s="2">
        <v>44310</v>
      </c>
      <c r="J26" t="s">
        <v>6</v>
      </c>
      <c r="K26" t="s">
        <v>0</v>
      </c>
      <c r="L26" t="s">
        <v>112</v>
      </c>
      <c r="M26" s="2">
        <v>44310</v>
      </c>
      <c r="N26" s="2"/>
      <c r="O26" s="2"/>
      <c r="P26" s="2"/>
      <c r="Q26" t="s">
        <v>35</v>
      </c>
      <c r="R26" t="s">
        <v>0</v>
      </c>
      <c r="S26" s="2">
        <v>44190</v>
      </c>
      <c r="T26" s="2">
        <v>44740</v>
      </c>
      <c r="U26" t="s">
        <v>10</v>
      </c>
      <c r="V26" t="s">
        <v>0</v>
      </c>
      <c r="W26" t="s">
        <v>94</v>
      </c>
      <c r="X26" t="s">
        <v>0</v>
      </c>
      <c r="Y26" t="s">
        <v>0</v>
      </c>
      <c r="Z26" t="s">
        <v>55</v>
      </c>
      <c r="AA26" t="s">
        <v>56</v>
      </c>
      <c r="AB26" t="s">
        <v>14</v>
      </c>
      <c r="AC26" s="3">
        <v>6</v>
      </c>
      <c r="AD26" s="2"/>
      <c r="AE26" s="2"/>
      <c r="AF26" s="2"/>
      <c r="AG26" t="s">
        <v>95</v>
      </c>
      <c r="AH26" s="4">
        <v>100</v>
      </c>
      <c r="AI26" s="2"/>
      <c r="AJ26" s="2"/>
      <c r="AK26" t="s">
        <v>0</v>
      </c>
    </row>
    <row r="27" spans="1:37" x14ac:dyDescent="0.2">
      <c r="A27" t="s">
        <v>113</v>
      </c>
      <c r="B27" t="s">
        <v>114</v>
      </c>
      <c r="C27" t="s">
        <v>208</v>
      </c>
      <c r="D27" t="str">
        <f>VLOOKUP(A27,Sheet2!A:C,2,0)</f>
        <v>REL</v>
      </c>
      <c r="E27" t="str">
        <f>VLOOKUP(A27,Sheet2!A:C,3,0)</f>
        <v>BGPR</v>
      </c>
      <c r="F27" s="15" t="s">
        <v>5</v>
      </c>
      <c r="G27" t="str">
        <f>VLOOKUP(A27,Sheet2!A:D,4,0)</f>
        <v>P490000</v>
      </c>
      <c r="H27" t="s">
        <v>100</v>
      </c>
      <c r="I27" s="2">
        <v>44310</v>
      </c>
      <c r="J27" t="s">
        <v>6</v>
      </c>
      <c r="K27" t="s">
        <v>0</v>
      </c>
      <c r="L27" t="s">
        <v>115</v>
      </c>
      <c r="M27" s="2">
        <v>44310</v>
      </c>
      <c r="N27" s="2"/>
      <c r="O27" s="2"/>
      <c r="P27" s="2"/>
      <c r="Q27" t="s">
        <v>35</v>
      </c>
      <c r="R27" t="s">
        <v>0</v>
      </c>
      <c r="S27" s="2">
        <v>44190</v>
      </c>
      <c r="T27" s="2">
        <v>44740</v>
      </c>
      <c r="U27" t="s">
        <v>10</v>
      </c>
      <c r="V27" t="s">
        <v>0</v>
      </c>
      <c r="W27" t="s">
        <v>94</v>
      </c>
      <c r="X27" t="s">
        <v>0</v>
      </c>
      <c r="Y27" t="s">
        <v>0</v>
      </c>
      <c r="Z27" t="s">
        <v>55</v>
      </c>
      <c r="AA27" t="s">
        <v>56</v>
      </c>
      <c r="AB27" t="s">
        <v>14</v>
      </c>
      <c r="AC27" s="3">
        <v>6</v>
      </c>
      <c r="AD27" s="2"/>
      <c r="AE27" s="2"/>
      <c r="AF27" s="2"/>
      <c r="AG27" t="s">
        <v>95</v>
      </c>
      <c r="AH27" s="4">
        <v>100</v>
      </c>
      <c r="AI27" s="2"/>
      <c r="AJ27" s="2"/>
      <c r="AK27" t="s">
        <v>0</v>
      </c>
    </row>
    <row r="28" spans="1:37" x14ac:dyDescent="0.2">
      <c r="A28" t="s">
        <v>116</v>
      </c>
      <c r="B28" t="s">
        <v>117</v>
      </c>
      <c r="C28" t="s">
        <v>208</v>
      </c>
      <c r="D28" t="str">
        <f>VLOOKUP(A28,Sheet2!A:C,2,0)</f>
        <v>REL</v>
      </c>
      <c r="E28" t="str">
        <f>VLOOKUP(A28,Sheet2!A:C,3,0)</f>
        <v>BGPR</v>
      </c>
      <c r="F28" s="15" t="s">
        <v>5</v>
      </c>
      <c r="G28" t="str">
        <f>VLOOKUP(A28,Sheet2!A:D,4,0)</f>
        <v>P490000</v>
      </c>
      <c r="H28" t="s">
        <v>100</v>
      </c>
      <c r="I28" s="2">
        <v>44434</v>
      </c>
      <c r="J28" t="s">
        <v>6</v>
      </c>
      <c r="K28" t="s">
        <v>0</v>
      </c>
      <c r="L28" t="s">
        <v>118</v>
      </c>
      <c r="M28" s="2">
        <v>44434</v>
      </c>
      <c r="N28" s="2"/>
      <c r="O28" s="2"/>
      <c r="P28" s="2"/>
      <c r="Q28" t="s">
        <v>35</v>
      </c>
      <c r="R28" t="s">
        <v>0</v>
      </c>
      <c r="S28" s="2">
        <v>44190</v>
      </c>
      <c r="T28" s="2">
        <v>44740</v>
      </c>
      <c r="U28" t="s">
        <v>10</v>
      </c>
      <c r="V28" t="s">
        <v>0</v>
      </c>
      <c r="W28" t="s">
        <v>94</v>
      </c>
      <c r="X28" t="s">
        <v>0</v>
      </c>
      <c r="Y28" t="s">
        <v>0</v>
      </c>
      <c r="Z28" t="s">
        <v>55</v>
      </c>
      <c r="AA28" t="s">
        <v>56</v>
      </c>
      <c r="AB28" t="s">
        <v>14</v>
      </c>
      <c r="AC28" s="3">
        <v>6</v>
      </c>
      <c r="AD28" s="2"/>
      <c r="AE28" s="2"/>
      <c r="AF28" s="2"/>
      <c r="AG28" t="s">
        <v>95</v>
      </c>
      <c r="AH28" s="4">
        <v>100</v>
      </c>
      <c r="AI28" s="2"/>
      <c r="AJ28" s="2"/>
      <c r="AK28" t="s">
        <v>0</v>
      </c>
    </row>
    <row r="29" spans="1:37" x14ac:dyDescent="0.2">
      <c r="A29" t="s">
        <v>119</v>
      </c>
      <c r="B29" t="s">
        <v>120</v>
      </c>
      <c r="C29" t="s">
        <v>208</v>
      </c>
      <c r="D29" t="str">
        <f>VLOOKUP(A29,Sheet2!A:C,2,0)</f>
        <v>REL</v>
      </c>
      <c r="E29" t="str">
        <f>VLOOKUP(A29,Sheet2!A:C,3,0)</f>
        <v>BGPR</v>
      </c>
      <c r="F29" s="15" t="s">
        <v>5</v>
      </c>
      <c r="G29" t="str">
        <f>VLOOKUP(A29,Sheet2!A:D,4,0)</f>
        <v>P490000</v>
      </c>
      <c r="H29" t="s">
        <v>100</v>
      </c>
      <c r="I29" s="2">
        <v>44538</v>
      </c>
      <c r="J29" t="s">
        <v>6</v>
      </c>
      <c r="K29" t="s">
        <v>0</v>
      </c>
      <c r="L29" t="s">
        <v>121</v>
      </c>
      <c r="M29" s="2">
        <v>44538</v>
      </c>
      <c r="N29" s="2"/>
      <c r="O29" s="2"/>
      <c r="P29" s="2"/>
      <c r="Q29" t="s">
        <v>35</v>
      </c>
      <c r="R29" t="s">
        <v>0</v>
      </c>
      <c r="S29" s="2">
        <v>44190</v>
      </c>
      <c r="T29" s="2">
        <v>44740</v>
      </c>
      <c r="U29" t="s">
        <v>10</v>
      </c>
      <c r="V29" t="s">
        <v>0</v>
      </c>
      <c r="W29" t="s">
        <v>94</v>
      </c>
      <c r="X29" t="s">
        <v>0</v>
      </c>
      <c r="Y29" t="s">
        <v>0</v>
      </c>
      <c r="Z29" t="s">
        <v>55</v>
      </c>
      <c r="AA29" t="s">
        <v>56</v>
      </c>
      <c r="AB29" t="s">
        <v>14</v>
      </c>
      <c r="AC29" s="3">
        <v>6</v>
      </c>
      <c r="AD29" s="2"/>
      <c r="AE29" s="2"/>
      <c r="AF29" s="2"/>
      <c r="AG29" t="s">
        <v>95</v>
      </c>
      <c r="AH29" s="4">
        <v>100</v>
      </c>
      <c r="AI29" s="2"/>
      <c r="AJ29" s="2"/>
      <c r="AK29" t="s">
        <v>0</v>
      </c>
    </row>
    <row r="30" spans="1:37" x14ac:dyDescent="0.2">
      <c r="A30" t="s">
        <v>122</v>
      </c>
      <c r="B30" t="s">
        <v>123</v>
      </c>
      <c r="C30" t="s">
        <v>208</v>
      </c>
      <c r="D30" t="str">
        <f>VLOOKUP(A30,Sheet2!A:C,2,0)</f>
        <v>REL</v>
      </c>
      <c r="E30" t="str">
        <f>VLOOKUP(A30,Sheet2!A:C,3,0)</f>
        <v>BGPR</v>
      </c>
      <c r="F30" s="15" t="s">
        <v>5</v>
      </c>
      <c r="G30" t="str">
        <f>VLOOKUP(A30,Sheet2!A:D,4,0)</f>
        <v>P490000</v>
      </c>
      <c r="H30" t="s">
        <v>100</v>
      </c>
      <c r="I30" s="2">
        <v>44538</v>
      </c>
      <c r="J30" t="s">
        <v>6</v>
      </c>
      <c r="K30" t="s">
        <v>0</v>
      </c>
      <c r="L30" t="s">
        <v>124</v>
      </c>
      <c r="M30" s="2">
        <v>44538</v>
      </c>
      <c r="N30" s="2"/>
      <c r="O30" s="2"/>
      <c r="P30" s="2"/>
      <c r="Q30" t="s">
        <v>35</v>
      </c>
      <c r="R30" t="s">
        <v>0</v>
      </c>
      <c r="S30" s="2">
        <v>44190</v>
      </c>
      <c r="T30" s="2">
        <v>44740</v>
      </c>
      <c r="U30" t="s">
        <v>10</v>
      </c>
      <c r="V30" t="s">
        <v>0</v>
      </c>
      <c r="W30" t="s">
        <v>94</v>
      </c>
      <c r="X30" t="s">
        <v>0</v>
      </c>
      <c r="Y30" t="s">
        <v>0</v>
      </c>
      <c r="Z30" t="s">
        <v>55</v>
      </c>
      <c r="AA30" t="s">
        <v>56</v>
      </c>
      <c r="AB30" t="s">
        <v>14</v>
      </c>
      <c r="AC30" s="3">
        <v>6</v>
      </c>
      <c r="AD30" s="2"/>
      <c r="AE30" s="2"/>
      <c r="AF30" s="2"/>
      <c r="AG30" t="s">
        <v>95</v>
      </c>
      <c r="AH30" s="4">
        <v>100</v>
      </c>
      <c r="AI30" s="2"/>
      <c r="AJ30" s="2"/>
      <c r="AK30" t="s">
        <v>0</v>
      </c>
    </row>
    <row r="31" spans="1:37" x14ac:dyDescent="0.2">
      <c r="A31" t="s">
        <v>125</v>
      </c>
      <c r="B31" t="s">
        <v>126</v>
      </c>
      <c r="C31" t="s">
        <v>208</v>
      </c>
      <c r="D31" t="str">
        <f>VLOOKUP(A31,Sheet2!A:C,2,0)</f>
        <v>REL</v>
      </c>
      <c r="E31" t="str">
        <f>VLOOKUP(A31,Sheet2!A:C,3,0)</f>
        <v>BGPR</v>
      </c>
      <c r="F31" s="15" t="s">
        <v>5</v>
      </c>
      <c r="G31" t="str">
        <f>VLOOKUP(A31,Sheet2!A:D,4,0)</f>
        <v>P490000</v>
      </c>
      <c r="H31" t="s">
        <v>100</v>
      </c>
      <c r="I31" s="2">
        <v>44538</v>
      </c>
      <c r="J31" t="s">
        <v>6</v>
      </c>
      <c r="K31" t="s">
        <v>0</v>
      </c>
      <c r="L31" t="s">
        <v>127</v>
      </c>
      <c r="M31" s="2">
        <v>44538</v>
      </c>
      <c r="N31" s="2"/>
      <c r="O31" s="2"/>
      <c r="P31" s="2"/>
      <c r="Q31" t="s">
        <v>35</v>
      </c>
      <c r="R31" t="s">
        <v>0</v>
      </c>
      <c r="S31" s="2">
        <v>44190</v>
      </c>
      <c r="T31" s="2">
        <v>44740</v>
      </c>
      <c r="U31" t="s">
        <v>10</v>
      </c>
      <c r="V31" t="s">
        <v>0</v>
      </c>
      <c r="W31" t="s">
        <v>94</v>
      </c>
      <c r="X31" t="s">
        <v>0</v>
      </c>
      <c r="Y31" t="s">
        <v>0</v>
      </c>
      <c r="Z31" t="s">
        <v>55</v>
      </c>
      <c r="AA31" t="s">
        <v>56</v>
      </c>
      <c r="AB31" t="s">
        <v>14</v>
      </c>
      <c r="AC31" s="3">
        <v>6</v>
      </c>
      <c r="AD31" s="2"/>
      <c r="AE31" s="2"/>
      <c r="AF31" s="2"/>
      <c r="AG31" t="s">
        <v>95</v>
      </c>
      <c r="AH31" s="4">
        <v>100</v>
      </c>
      <c r="AI31" s="2"/>
      <c r="AJ31" s="2"/>
      <c r="AK31" t="s">
        <v>0</v>
      </c>
    </row>
    <row r="32" spans="1:37" x14ac:dyDescent="0.2">
      <c r="A32" t="s">
        <v>128</v>
      </c>
      <c r="B32" t="s">
        <v>129</v>
      </c>
      <c r="C32" t="s">
        <v>208</v>
      </c>
      <c r="D32" t="str">
        <f>VLOOKUP(A32,Sheet2!A:C,2,0)</f>
        <v>REL</v>
      </c>
      <c r="E32" t="str">
        <f>VLOOKUP(A32,Sheet2!A:C,3,0)</f>
        <v>BGPR</v>
      </c>
      <c r="F32" s="15" t="s">
        <v>5</v>
      </c>
      <c r="G32" t="str">
        <f>VLOOKUP(A32,Sheet2!A:D,4,0)</f>
        <v>P490000</v>
      </c>
      <c r="H32" t="s">
        <v>100</v>
      </c>
      <c r="I32" s="2">
        <v>44538</v>
      </c>
      <c r="J32" t="s">
        <v>6</v>
      </c>
      <c r="K32" t="s">
        <v>0</v>
      </c>
      <c r="L32" t="s">
        <v>130</v>
      </c>
      <c r="M32" s="2">
        <v>44538</v>
      </c>
      <c r="N32" s="2"/>
      <c r="O32" s="2"/>
      <c r="P32" s="2"/>
      <c r="Q32" t="s">
        <v>35</v>
      </c>
      <c r="R32" t="s">
        <v>0</v>
      </c>
      <c r="S32" s="2">
        <v>44190</v>
      </c>
      <c r="T32" s="2">
        <v>44740</v>
      </c>
      <c r="U32" t="s">
        <v>10</v>
      </c>
      <c r="V32" t="s">
        <v>0</v>
      </c>
      <c r="W32" t="s">
        <v>94</v>
      </c>
      <c r="X32" t="s">
        <v>0</v>
      </c>
      <c r="Y32" t="s">
        <v>0</v>
      </c>
      <c r="Z32" t="s">
        <v>55</v>
      </c>
      <c r="AA32" t="s">
        <v>56</v>
      </c>
      <c r="AB32" t="s">
        <v>14</v>
      </c>
      <c r="AC32" s="3">
        <v>6</v>
      </c>
      <c r="AD32" s="2"/>
      <c r="AE32" s="2"/>
      <c r="AF32" s="2"/>
      <c r="AG32" t="s">
        <v>95</v>
      </c>
      <c r="AH32" s="4">
        <v>100</v>
      </c>
      <c r="AI32" s="2"/>
      <c r="AJ32" s="2"/>
      <c r="AK32" t="s">
        <v>0</v>
      </c>
    </row>
    <row r="33" spans="1:37" x14ac:dyDescent="0.2">
      <c r="A33" t="s">
        <v>131</v>
      </c>
      <c r="B33" t="s">
        <v>132</v>
      </c>
      <c r="C33" t="s">
        <v>208</v>
      </c>
      <c r="D33" t="str">
        <f>VLOOKUP(A33,Sheet2!A:C,2,0)</f>
        <v>REL</v>
      </c>
      <c r="E33" t="str">
        <f>VLOOKUP(A33,Sheet2!A:C,3,0)</f>
        <v>BGPR</v>
      </c>
      <c r="F33" s="15" t="s">
        <v>5</v>
      </c>
      <c r="G33" t="str">
        <f>VLOOKUP(A33,Sheet2!A:D,4,0)</f>
        <v>P490000</v>
      </c>
      <c r="H33" t="s">
        <v>100</v>
      </c>
      <c r="I33" s="2">
        <v>44539</v>
      </c>
      <c r="J33" t="s">
        <v>6</v>
      </c>
      <c r="K33" t="s">
        <v>0</v>
      </c>
      <c r="L33" t="s">
        <v>133</v>
      </c>
      <c r="M33" s="2">
        <v>44539</v>
      </c>
      <c r="N33" s="2"/>
      <c r="O33" s="2"/>
      <c r="P33" s="2"/>
      <c r="Q33" t="s">
        <v>35</v>
      </c>
      <c r="R33" t="s">
        <v>0</v>
      </c>
      <c r="S33" s="2">
        <v>44190</v>
      </c>
      <c r="T33" s="2">
        <v>44740</v>
      </c>
      <c r="U33" t="s">
        <v>10</v>
      </c>
      <c r="V33" t="s">
        <v>0</v>
      </c>
      <c r="W33" t="s">
        <v>94</v>
      </c>
      <c r="X33" t="s">
        <v>0</v>
      </c>
      <c r="Y33" t="s">
        <v>0</v>
      </c>
      <c r="Z33" t="s">
        <v>12</v>
      </c>
      <c r="AA33" t="s">
        <v>13</v>
      </c>
      <c r="AB33" t="s">
        <v>14</v>
      </c>
      <c r="AC33" s="3">
        <v>6</v>
      </c>
      <c r="AD33" s="2"/>
      <c r="AE33" s="2"/>
      <c r="AF33" s="2"/>
      <c r="AG33" t="s">
        <v>95</v>
      </c>
      <c r="AH33" s="4">
        <v>100</v>
      </c>
      <c r="AI33" s="2"/>
      <c r="AJ33" s="2"/>
      <c r="AK33" t="s">
        <v>0</v>
      </c>
    </row>
    <row r="34" spans="1:37" s="7" customFormat="1" x14ac:dyDescent="0.2">
      <c r="A34" s="7" t="s">
        <v>134</v>
      </c>
      <c r="B34" s="7" t="s">
        <v>135</v>
      </c>
      <c r="C34" s="7" t="s">
        <v>208</v>
      </c>
      <c r="D34" s="7" t="str">
        <f>VLOOKUP(A34,Sheet2!A:C,2,0)</f>
        <v>REL</v>
      </c>
      <c r="E34" s="7" t="str">
        <f>VLOOKUP(A34,Sheet2!A:C,3,0)</f>
        <v>WACT</v>
      </c>
      <c r="F34" s="15" t="s">
        <v>5</v>
      </c>
      <c r="G34" s="11" t="str">
        <f>VLOOKUP(A34,Sheet2!A:D,4,0)</f>
        <v>P230000</v>
      </c>
      <c r="H34" s="7" t="s">
        <v>137</v>
      </c>
      <c r="I34" s="8">
        <v>44352</v>
      </c>
      <c r="J34" s="7" t="s">
        <v>6</v>
      </c>
      <c r="K34" s="7" t="s">
        <v>0</v>
      </c>
      <c r="L34" s="7" t="s">
        <v>136</v>
      </c>
      <c r="M34" s="8">
        <v>44352</v>
      </c>
      <c r="N34" s="8"/>
      <c r="O34" s="8"/>
      <c r="P34" s="8"/>
      <c r="Q34" s="7" t="s">
        <v>138</v>
      </c>
      <c r="R34" s="7" t="s">
        <v>0</v>
      </c>
      <c r="S34" s="8">
        <v>44190</v>
      </c>
      <c r="T34" s="8">
        <v>44740</v>
      </c>
      <c r="U34" s="7" t="s">
        <v>10</v>
      </c>
      <c r="V34" s="7" t="s">
        <v>139</v>
      </c>
      <c r="W34" s="7" t="s">
        <v>0</v>
      </c>
      <c r="X34" s="7" t="s">
        <v>0</v>
      </c>
      <c r="Y34" s="7" t="s">
        <v>0</v>
      </c>
      <c r="Z34" s="7" t="s">
        <v>140</v>
      </c>
      <c r="AA34" s="7" t="s">
        <v>141</v>
      </c>
      <c r="AB34" s="7" t="s">
        <v>14</v>
      </c>
      <c r="AC34" s="9">
        <v>6</v>
      </c>
      <c r="AD34" s="8"/>
      <c r="AE34" s="8"/>
      <c r="AF34" s="8"/>
      <c r="AG34" s="7" t="s">
        <v>95</v>
      </c>
      <c r="AH34" s="10">
        <v>100</v>
      </c>
      <c r="AI34" s="8">
        <v>44391</v>
      </c>
      <c r="AJ34" s="8"/>
      <c r="AK34" s="7" t="s">
        <v>142</v>
      </c>
    </row>
    <row r="35" spans="1:37" s="7" customFormat="1" x14ac:dyDescent="0.2">
      <c r="A35" s="7" t="s">
        <v>143</v>
      </c>
      <c r="B35" s="7" t="s">
        <v>144</v>
      </c>
      <c r="C35" s="12" t="s">
        <v>209</v>
      </c>
      <c r="D35" s="7" t="str">
        <f>VLOOKUP(A35,Sheet2!A:C,2,0)</f>
        <v>REL</v>
      </c>
      <c r="E35" s="7" t="str">
        <f>VLOOKUP(A35,Sheet2!A:C,3,0)</f>
        <v>WACT</v>
      </c>
      <c r="F35" s="15" t="s">
        <v>5</v>
      </c>
      <c r="G35" s="11" t="str">
        <f>VLOOKUP(A35,Sheet2!A:D,4,0)</f>
        <v>P320000</v>
      </c>
      <c r="H35" s="7" t="s">
        <v>147</v>
      </c>
      <c r="I35" s="8">
        <v>44631</v>
      </c>
      <c r="J35" s="7" t="s">
        <v>145</v>
      </c>
      <c r="K35" s="7" t="s">
        <v>0</v>
      </c>
      <c r="L35" s="7" t="s">
        <v>146</v>
      </c>
      <c r="M35" s="8">
        <v>44631</v>
      </c>
      <c r="N35" s="8"/>
      <c r="O35" s="8"/>
      <c r="P35" s="8"/>
      <c r="Q35" s="7" t="s">
        <v>147</v>
      </c>
      <c r="R35" s="7" t="s">
        <v>0</v>
      </c>
      <c r="S35" s="8">
        <v>44631</v>
      </c>
      <c r="T35" s="8">
        <v>44725</v>
      </c>
      <c r="U35" s="7" t="s">
        <v>148</v>
      </c>
      <c r="V35" s="7" t="s">
        <v>0</v>
      </c>
      <c r="W35" s="7" t="s">
        <v>0</v>
      </c>
      <c r="X35" s="7" t="s">
        <v>0</v>
      </c>
      <c r="Y35" s="7" t="s">
        <v>0</v>
      </c>
      <c r="Z35" s="7" t="s">
        <v>149</v>
      </c>
      <c r="AA35" s="7" t="s">
        <v>0</v>
      </c>
      <c r="AB35" s="7" t="s">
        <v>150</v>
      </c>
      <c r="AC35" s="9">
        <v>5</v>
      </c>
      <c r="AD35" s="8"/>
      <c r="AE35" s="8">
        <v>242978</v>
      </c>
      <c r="AF35" s="8"/>
      <c r="AG35" s="7" t="s">
        <v>151</v>
      </c>
      <c r="AH35" s="10">
        <v>100</v>
      </c>
      <c r="AI35" s="8">
        <v>44631</v>
      </c>
      <c r="AJ35" s="8"/>
      <c r="AK35" s="7" t="s">
        <v>152</v>
      </c>
    </row>
    <row r="36" spans="1:37" s="7" customFormat="1" x14ac:dyDescent="0.2">
      <c r="A36" s="7" t="s">
        <v>153</v>
      </c>
      <c r="B36" s="7" t="s">
        <v>154</v>
      </c>
      <c r="C36" s="7" t="s">
        <v>208</v>
      </c>
      <c r="D36" s="7" t="str">
        <f>VLOOKUP(A36,Sheet2!A:C,2,0)</f>
        <v>REL</v>
      </c>
      <c r="E36" s="7" t="str">
        <f>VLOOKUP(A36,Sheet2!A:C,3,0)</f>
        <v>WACT</v>
      </c>
      <c r="F36" s="15" t="s">
        <v>5</v>
      </c>
      <c r="G36" s="11" t="str">
        <f>VLOOKUP(A36,Sheet2!A:D,4,0)</f>
        <v>P530000</v>
      </c>
      <c r="H36" s="7" t="s">
        <v>156</v>
      </c>
      <c r="I36" s="8">
        <v>44631</v>
      </c>
      <c r="J36" s="7" t="s">
        <v>145</v>
      </c>
      <c r="K36" s="7" t="s">
        <v>0</v>
      </c>
      <c r="L36" s="7" t="s">
        <v>155</v>
      </c>
      <c r="M36" s="8">
        <v>44631</v>
      </c>
      <c r="N36" s="8"/>
      <c r="O36" s="8"/>
      <c r="P36" s="8"/>
      <c r="Q36" s="7" t="s">
        <v>157</v>
      </c>
      <c r="R36" s="7" t="s">
        <v>0</v>
      </c>
      <c r="S36" s="8">
        <v>44565</v>
      </c>
      <c r="T36" s="8">
        <v>44649</v>
      </c>
      <c r="U36" s="7" t="s">
        <v>158</v>
      </c>
      <c r="V36" s="7" t="s">
        <v>0</v>
      </c>
      <c r="W36" s="7" t="s">
        <v>0</v>
      </c>
      <c r="X36" s="7" t="s">
        <v>0</v>
      </c>
      <c r="Y36" s="7" t="s">
        <v>0</v>
      </c>
      <c r="Z36" s="7" t="s">
        <v>149</v>
      </c>
      <c r="AA36" s="7" t="s">
        <v>0</v>
      </c>
      <c r="AB36" s="7" t="s">
        <v>150</v>
      </c>
      <c r="AC36" s="9">
        <v>5</v>
      </c>
      <c r="AD36" s="8"/>
      <c r="AE36" s="8">
        <v>44742</v>
      </c>
      <c r="AF36" s="8"/>
      <c r="AG36" s="7" t="s">
        <v>159</v>
      </c>
      <c r="AH36" s="10">
        <v>100</v>
      </c>
      <c r="AI36" s="8">
        <v>44631</v>
      </c>
      <c r="AJ36" s="8"/>
      <c r="AK36" s="7" t="s">
        <v>160</v>
      </c>
    </row>
    <row r="37" spans="1:37" s="7" customFormat="1" x14ac:dyDescent="0.2">
      <c r="A37" s="7" t="s">
        <v>161</v>
      </c>
      <c r="B37" s="7" t="s">
        <v>162</v>
      </c>
      <c r="C37" s="7" t="s">
        <v>208</v>
      </c>
      <c r="D37" s="7" t="str">
        <f>VLOOKUP(A37,Sheet2!A:C,2,0)</f>
        <v>REL</v>
      </c>
      <c r="E37" s="7" t="str">
        <f>VLOOKUP(A37,Sheet2!A:C,3,0)</f>
        <v>WACT</v>
      </c>
      <c r="F37" s="15" t="s">
        <v>5</v>
      </c>
      <c r="G37" s="11" t="str">
        <f>VLOOKUP(A37,Sheet2!A:D,4,0)</f>
        <v>P790000</v>
      </c>
      <c r="H37" s="7" t="s">
        <v>164</v>
      </c>
      <c r="I37" s="8">
        <v>44631</v>
      </c>
      <c r="J37" s="7" t="s">
        <v>145</v>
      </c>
      <c r="K37" s="7" t="s">
        <v>0</v>
      </c>
      <c r="L37" s="7" t="s">
        <v>163</v>
      </c>
      <c r="M37" s="8">
        <v>44631</v>
      </c>
      <c r="N37" s="8"/>
      <c r="O37" s="8"/>
      <c r="P37" s="8"/>
      <c r="Q37" s="7" t="s">
        <v>157</v>
      </c>
      <c r="R37" s="7" t="s">
        <v>0</v>
      </c>
      <c r="S37" s="8">
        <v>44565</v>
      </c>
      <c r="T37" s="8">
        <v>44741</v>
      </c>
      <c r="U37" s="7" t="s">
        <v>148</v>
      </c>
      <c r="V37" s="7" t="s">
        <v>0</v>
      </c>
      <c r="W37" s="7" t="s">
        <v>0</v>
      </c>
      <c r="X37" s="7" t="s">
        <v>0</v>
      </c>
      <c r="Y37" s="7" t="s">
        <v>0</v>
      </c>
      <c r="Z37" s="7" t="s">
        <v>149</v>
      </c>
      <c r="AA37" s="7" t="s">
        <v>0</v>
      </c>
      <c r="AB37" s="7" t="s">
        <v>150</v>
      </c>
      <c r="AC37" s="9">
        <v>5</v>
      </c>
      <c r="AD37" s="8"/>
      <c r="AE37" s="8">
        <v>44804</v>
      </c>
      <c r="AF37" s="8"/>
      <c r="AG37" s="7" t="s">
        <v>165</v>
      </c>
      <c r="AH37" s="10">
        <v>100</v>
      </c>
      <c r="AI37" s="8">
        <v>44631</v>
      </c>
      <c r="AJ37" s="8"/>
      <c r="AK37" s="7" t="s">
        <v>166</v>
      </c>
    </row>
    <row r="38" spans="1:37" s="7" customFormat="1" x14ac:dyDescent="0.2">
      <c r="A38" s="7" t="s">
        <v>167</v>
      </c>
      <c r="B38" s="7" t="s">
        <v>168</v>
      </c>
      <c r="C38" s="12" t="s">
        <v>209</v>
      </c>
      <c r="D38" s="7" t="str">
        <f>VLOOKUP(A38,Sheet2!A:C,2,0)</f>
        <v>REL</v>
      </c>
      <c r="E38" s="7" t="str">
        <f>VLOOKUP(A38,Sheet2!A:C,3,0)</f>
        <v>WACT</v>
      </c>
      <c r="F38" s="15" t="s">
        <v>5</v>
      </c>
      <c r="G38" s="11" t="str">
        <f>VLOOKUP(A38,Sheet2!A:D,4,0)</f>
        <v>P790000</v>
      </c>
      <c r="H38" s="7" t="s">
        <v>164</v>
      </c>
      <c r="I38" s="8">
        <v>44623</v>
      </c>
      <c r="J38" s="7" t="s">
        <v>145</v>
      </c>
      <c r="K38" s="7" t="s">
        <v>0</v>
      </c>
      <c r="L38" s="7" t="s">
        <v>169</v>
      </c>
      <c r="M38" s="8">
        <v>44623</v>
      </c>
      <c r="N38" s="8"/>
      <c r="O38" s="8"/>
      <c r="P38" s="8"/>
      <c r="Q38" s="7" t="s">
        <v>170</v>
      </c>
      <c r="R38" s="7" t="s">
        <v>0</v>
      </c>
      <c r="S38" s="8">
        <v>44565</v>
      </c>
      <c r="T38" s="8">
        <v>44741</v>
      </c>
      <c r="U38" s="7" t="s">
        <v>158</v>
      </c>
      <c r="V38" s="7" t="s">
        <v>0</v>
      </c>
      <c r="W38" s="7" t="s">
        <v>0</v>
      </c>
      <c r="X38" s="7" t="s">
        <v>0</v>
      </c>
      <c r="Y38" s="7" t="s">
        <v>0</v>
      </c>
      <c r="Z38" s="7" t="s">
        <v>149</v>
      </c>
      <c r="AA38" s="7" t="s">
        <v>0</v>
      </c>
      <c r="AB38" s="7" t="s">
        <v>150</v>
      </c>
      <c r="AC38" s="9">
        <v>5</v>
      </c>
      <c r="AD38" s="8">
        <v>44742</v>
      </c>
      <c r="AE38" s="8">
        <v>44712</v>
      </c>
      <c r="AF38" s="8"/>
      <c r="AG38" s="7" t="s">
        <v>165</v>
      </c>
      <c r="AH38" s="10">
        <v>100</v>
      </c>
      <c r="AI38" s="8">
        <v>44623</v>
      </c>
      <c r="AJ38" s="8"/>
      <c r="AK38" s="7" t="s">
        <v>171</v>
      </c>
    </row>
  </sheetData>
  <autoFilter ref="A1:AK38"/>
  <phoneticPr fontId="0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B41" sqref="B41"/>
    </sheetView>
  </sheetViews>
  <sheetFormatPr defaultRowHeight="12.75" x14ac:dyDescent="0.2"/>
  <cols>
    <col min="1" max="1" width="22.140625" bestFit="1" customWidth="1"/>
  </cols>
  <sheetData>
    <row r="1" spans="1:4" x14ac:dyDescent="0.2">
      <c r="A1" s="7" t="s">
        <v>1</v>
      </c>
      <c r="B1" t="s">
        <v>210</v>
      </c>
      <c r="C1" t="s">
        <v>211</v>
      </c>
      <c r="D1" t="s">
        <v>5</v>
      </c>
    </row>
    <row r="2" spans="1:4" x14ac:dyDescent="0.2">
      <c r="A2" t="s">
        <v>16</v>
      </c>
      <c r="B2" t="s">
        <v>3</v>
      </c>
      <c r="C2" t="s">
        <v>18</v>
      </c>
      <c r="D2" t="s">
        <v>212</v>
      </c>
    </row>
    <row r="3" spans="1:4" x14ac:dyDescent="0.2">
      <c r="A3" t="s">
        <v>21</v>
      </c>
      <c r="B3" t="s">
        <v>3</v>
      </c>
      <c r="C3" t="s">
        <v>18</v>
      </c>
      <c r="D3" t="s">
        <v>212</v>
      </c>
    </row>
    <row r="4" spans="1:4" x14ac:dyDescent="0.2">
      <c r="A4" s="7" t="s">
        <v>22</v>
      </c>
      <c r="B4" t="s">
        <v>3</v>
      </c>
      <c r="C4" t="s">
        <v>4</v>
      </c>
      <c r="D4" t="s">
        <v>213</v>
      </c>
    </row>
    <row r="5" spans="1:4" x14ac:dyDescent="0.2">
      <c r="A5" s="7" t="s">
        <v>32</v>
      </c>
      <c r="B5" t="s">
        <v>3</v>
      </c>
      <c r="C5" t="s">
        <v>4</v>
      </c>
      <c r="D5" t="s">
        <v>213</v>
      </c>
    </row>
    <row r="6" spans="1:4" x14ac:dyDescent="0.2">
      <c r="A6" s="7" t="s">
        <v>39</v>
      </c>
      <c r="B6" t="s">
        <v>3</v>
      </c>
      <c r="C6" t="s">
        <v>4</v>
      </c>
      <c r="D6" t="s">
        <v>213</v>
      </c>
    </row>
    <row r="7" spans="1:4" x14ac:dyDescent="0.2">
      <c r="A7" s="7" t="s">
        <v>43</v>
      </c>
      <c r="B7" t="s">
        <v>3</v>
      </c>
      <c r="C7" t="s">
        <v>4</v>
      </c>
      <c r="D7" t="s">
        <v>213</v>
      </c>
    </row>
    <row r="8" spans="1:4" x14ac:dyDescent="0.2">
      <c r="A8" s="7" t="s">
        <v>49</v>
      </c>
      <c r="B8" t="s">
        <v>3</v>
      </c>
      <c r="C8" t="s">
        <v>4</v>
      </c>
      <c r="D8" t="s">
        <v>213</v>
      </c>
    </row>
    <row r="9" spans="1:4" x14ac:dyDescent="0.2">
      <c r="A9" s="7" t="s">
        <v>51</v>
      </c>
      <c r="B9" t="s">
        <v>3</v>
      </c>
      <c r="C9" t="s">
        <v>4</v>
      </c>
      <c r="D9" t="s">
        <v>214</v>
      </c>
    </row>
    <row r="10" spans="1:4" x14ac:dyDescent="0.2">
      <c r="A10" s="7" t="s">
        <v>58</v>
      </c>
      <c r="B10" t="s">
        <v>3</v>
      </c>
      <c r="C10" t="s">
        <v>4</v>
      </c>
      <c r="D10" t="s">
        <v>215</v>
      </c>
    </row>
    <row r="11" spans="1:4" x14ac:dyDescent="0.2">
      <c r="A11" s="7" t="s">
        <v>63</v>
      </c>
      <c r="B11" t="s">
        <v>3</v>
      </c>
      <c r="C11" t="s">
        <v>4</v>
      </c>
      <c r="D11" t="s">
        <v>216</v>
      </c>
    </row>
    <row r="12" spans="1:4" x14ac:dyDescent="0.2">
      <c r="A12" s="7" t="s">
        <v>69</v>
      </c>
      <c r="B12" t="s">
        <v>3</v>
      </c>
      <c r="C12" t="s">
        <v>4</v>
      </c>
      <c r="D12" t="s">
        <v>217</v>
      </c>
    </row>
    <row r="13" spans="1:4" x14ac:dyDescent="0.2">
      <c r="A13" s="7" t="s">
        <v>75</v>
      </c>
      <c r="B13" t="s">
        <v>3</v>
      </c>
      <c r="C13" t="s">
        <v>4</v>
      </c>
      <c r="D13" t="s">
        <v>217</v>
      </c>
    </row>
    <row r="14" spans="1:4" x14ac:dyDescent="0.2">
      <c r="A14" s="7" t="s">
        <v>78</v>
      </c>
      <c r="B14" t="s">
        <v>3</v>
      </c>
      <c r="C14" t="s">
        <v>4</v>
      </c>
      <c r="D14" t="s">
        <v>217</v>
      </c>
    </row>
    <row r="15" spans="1:4" x14ac:dyDescent="0.2">
      <c r="A15" s="7" t="s">
        <v>81</v>
      </c>
      <c r="B15" t="s">
        <v>3</v>
      </c>
      <c r="C15" t="s">
        <v>4</v>
      </c>
      <c r="D15" t="s">
        <v>217</v>
      </c>
    </row>
    <row r="16" spans="1:4" x14ac:dyDescent="0.2">
      <c r="A16" s="7" t="s">
        <v>82</v>
      </c>
      <c r="B16" t="s">
        <v>3</v>
      </c>
      <c r="C16" t="s">
        <v>4</v>
      </c>
      <c r="D16" t="s">
        <v>217</v>
      </c>
    </row>
    <row r="17" spans="1:4" x14ac:dyDescent="0.2">
      <c r="A17" s="7" t="s">
        <v>84</v>
      </c>
      <c r="B17" t="s">
        <v>3</v>
      </c>
      <c r="C17" t="s">
        <v>4</v>
      </c>
      <c r="D17" t="s">
        <v>217</v>
      </c>
    </row>
    <row r="18" spans="1:4" x14ac:dyDescent="0.2">
      <c r="A18" s="7" t="s">
        <v>85</v>
      </c>
      <c r="B18" t="s">
        <v>3</v>
      </c>
      <c r="C18" t="s">
        <v>4</v>
      </c>
      <c r="D18" t="s">
        <v>218</v>
      </c>
    </row>
    <row r="19" spans="1:4" x14ac:dyDescent="0.2">
      <c r="A19" s="7" t="s">
        <v>89</v>
      </c>
      <c r="B19" t="s">
        <v>3</v>
      </c>
      <c r="C19" t="s">
        <v>4</v>
      </c>
      <c r="D19" t="s">
        <v>218</v>
      </c>
    </row>
    <row r="20" spans="1:4" x14ac:dyDescent="0.2">
      <c r="A20" s="7" t="s">
        <v>91</v>
      </c>
      <c r="B20" t="s">
        <v>3</v>
      </c>
      <c r="C20" t="s">
        <v>4</v>
      </c>
      <c r="D20" t="s">
        <v>219</v>
      </c>
    </row>
    <row r="21" spans="1:4" x14ac:dyDescent="0.2">
      <c r="A21" s="7" t="s">
        <v>96</v>
      </c>
      <c r="B21" t="s">
        <v>3</v>
      </c>
      <c r="C21" t="s">
        <v>98</v>
      </c>
      <c r="D21" t="s">
        <v>215</v>
      </c>
    </row>
    <row r="22" spans="1:4" x14ac:dyDescent="0.2">
      <c r="A22" t="s">
        <v>101</v>
      </c>
      <c r="B22" t="s">
        <v>3</v>
      </c>
      <c r="C22" t="s">
        <v>18</v>
      </c>
      <c r="D22" t="s">
        <v>214</v>
      </c>
    </row>
    <row r="23" spans="1:4" x14ac:dyDescent="0.2">
      <c r="A23" t="s">
        <v>104</v>
      </c>
      <c r="B23" t="s">
        <v>3</v>
      </c>
      <c r="C23" t="s">
        <v>18</v>
      </c>
      <c r="D23" t="s">
        <v>214</v>
      </c>
    </row>
    <row r="24" spans="1:4" x14ac:dyDescent="0.2">
      <c r="A24" t="s">
        <v>107</v>
      </c>
      <c r="B24" t="s">
        <v>3</v>
      </c>
      <c r="C24" t="s">
        <v>18</v>
      </c>
      <c r="D24" t="s">
        <v>214</v>
      </c>
    </row>
    <row r="25" spans="1:4" x14ac:dyDescent="0.2">
      <c r="A25" t="s">
        <v>110</v>
      </c>
      <c r="B25" t="s">
        <v>3</v>
      </c>
      <c r="C25" t="s">
        <v>18</v>
      </c>
      <c r="D25" t="s">
        <v>214</v>
      </c>
    </row>
    <row r="26" spans="1:4" x14ac:dyDescent="0.2">
      <c r="A26" t="s">
        <v>113</v>
      </c>
      <c r="B26" t="s">
        <v>3</v>
      </c>
      <c r="C26" t="s">
        <v>18</v>
      </c>
      <c r="D26" t="s">
        <v>214</v>
      </c>
    </row>
    <row r="27" spans="1:4" x14ac:dyDescent="0.2">
      <c r="A27" t="s">
        <v>116</v>
      </c>
      <c r="B27" t="s">
        <v>3</v>
      </c>
      <c r="C27" t="s">
        <v>18</v>
      </c>
      <c r="D27" t="s">
        <v>214</v>
      </c>
    </row>
    <row r="28" spans="1:4" x14ac:dyDescent="0.2">
      <c r="A28" t="s">
        <v>119</v>
      </c>
      <c r="B28" t="s">
        <v>3</v>
      </c>
      <c r="C28" t="s">
        <v>18</v>
      </c>
      <c r="D28" t="s">
        <v>214</v>
      </c>
    </row>
    <row r="29" spans="1:4" x14ac:dyDescent="0.2">
      <c r="A29" t="s">
        <v>122</v>
      </c>
      <c r="B29" t="s">
        <v>3</v>
      </c>
      <c r="C29" t="s">
        <v>18</v>
      </c>
      <c r="D29" t="s">
        <v>214</v>
      </c>
    </row>
    <row r="30" spans="1:4" x14ac:dyDescent="0.2">
      <c r="A30" t="s">
        <v>125</v>
      </c>
      <c r="B30" t="s">
        <v>3</v>
      </c>
      <c r="C30" t="s">
        <v>18</v>
      </c>
      <c r="D30" t="s">
        <v>214</v>
      </c>
    </row>
    <row r="31" spans="1:4" x14ac:dyDescent="0.2">
      <c r="A31" t="s">
        <v>128</v>
      </c>
      <c r="B31" t="s">
        <v>3</v>
      </c>
      <c r="C31" t="s">
        <v>18</v>
      </c>
      <c r="D31" t="s">
        <v>214</v>
      </c>
    </row>
    <row r="32" spans="1:4" x14ac:dyDescent="0.2">
      <c r="A32" t="s">
        <v>131</v>
      </c>
      <c r="B32" t="s">
        <v>3</v>
      </c>
      <c r="C32" t="s">
        <v>18</v>
      </c>
      <c r="D32" t="s">
        <v>214</v>
      </c>
    </row>
    <row r="33" spans="1:4" x14ac:dyDescent="0.2">
      <c r="A33" s="7" t="s">
        <v>134</v>
      </c>
      <c r="B33" t="s">
        <v>3</v>
      </c>
      <c r="C33" t="s">
        <v>4</v>
      </c>
      <c r="D33" t="s">
        <v>220</v>
      </c>
    </row>
    <row r="34" spans="1:4" x14ac:dyDescent="0.2">
      <c r="A34" s="7" t="s">
        <v>143</v>
      </c>
      <c r="B34" t="s">
        <v>3</v>
      </c>
      <c r="C34" t="s">
        <v>4</v>
      </c>
      <c r="D34" t="s">
        <v>221</v>
      </c>
    </row>
    <row r="35" spans="1:4" x14ac:dyDescent="0.2">
      <c r="A35" s="7" t="s">
        <v>153</v>
      </c>
      <c r="B35" t="s">
        <v>3</v>
      </c>
      <c r="C35" t="s">
        <v>4</v>
      </c>
      <c r="D35" t="s">
        <v>222</v>
      </c>
    </row>
    <row r="36" spans="1:4" x14ac:dyDescent="0.2">
      <c r="A36" s="7" t="s">
        <v>161</v>
      </c>
      <c r="B36" t="s">
        <v>3</v>
      </c>
      <c r="C36" t="s">
        <v>4</v>
      </c>
      <c r="D36" t="s">
        <v>223</v>
      </c>
    </row>
    <row r="37" spans="1:4" x14ac:dyDescent="0.2">
      <c r="A37" s="7" t="s">
        <v>167</v>
      </c>
      <c r="B37" t="s">
        <v>3</v>
      </c>
      <c r="C37" t="s">
        <v>4</v>
      </c>
      <c r="D3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 Ratthanapas</cp:lastModifiedBy>
  <cp:revision>1</cp:revision>
  <dcterms:created xsi:type="dcterms:W3CDTF">2022-06-29T07:30:14Z</dcterms:created>
  <dcterms:modified xsi:type="dcterms:W3CDTF">2022-07-04T07:25:59Z</dcterms:modified>
  <cp:category/>
</cp:coreProperties>
</file>