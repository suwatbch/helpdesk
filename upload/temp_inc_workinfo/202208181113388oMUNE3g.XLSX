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upaporn.R\Desktop\MEA RE-IMP\After-GOLIVE\CO\ZFICOR036\"/>
    </mc:Choice>
  </mc:AlternateContent>
  <bookViews>
    <workbookView xWindow="0" yWindow="0" windowWidth="21855" windowHeight="1494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Sheet2!$A$1:$L$68</definedName>
  </definedNames>
  <calcPr calcId="152511"/>
</workbook>
</file>

<file path=xl/calcChain.xml><?xml version="1.0" encoding="utf-8"?>
<calcChain xmlns="http://schemas.openxmlformats.org/spreadsheetml/2006/main">
  <c r="I4" i="2" l="1"/>
  <c r="I6" i="2"/>
  <c r="I8" i="2"/>
  <c r="I10" i="2"/>
  <c r="I12" i="2"/>
  <c r="I14" i="2"/>
  <c r="I16" i="2"/>
  <c r="I18" i="2"/>
  <c r="I20" i="2"/>
  <c r="I22" i="2"/>
  <c r="I24" i="2"/>
  <c r="I26" i="2"/>
  <c r="I28" i="2"/>
  <c r="I30" i="2"/>
  <c r="I32" i="2"/>
  <c r="I34" i="2"/>
  <c r="I36" i="2"/>
  <c r="I37" i="2"/>
  <c r="I38" i="2"/>
  <c r="I40" i="2"/>
  <c r="I41" i="2"/>
  <c r="I42" i="2"/>
  <c r="I44" i="2"/>
  <c r="I45" i="2"/>
  <c r="I46" i="2"/>
  <c r="I47" i="2"/>
  <c r="I48" i="2"/>
  <c r="I50" i="2"/>
  <c r="I51" i="2"/>
  <c r="I52" i="2"/>
  <c r="I54" i="2"/>
  <c r="I56" i="2"/>
  <c r="I57" i="2"/>
  <c r="I58" i="2"/>
  <c r="I60" i="2"/>
  <c r="I61" i="2"/>
  <c r="I62" i="2"/>
  <c r="I2" i="2"/>
  <c r="I64" i="2" l="1"/>
  <c r="I65" i="2" s="1"/>
  <c r="E6" i="3"/>
  <c r="H64" i="2"/>
  <c r="H65" i="2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2" i="2"/>
  <c r="D67" i="2"/>
  <c r="D66" i="2"/>
  <c r="F3" i="2"/>
  <c r="F22" i="2"/>
  <c r="F65" i="2"/>
  <c r="E64" i="2"/>
  <c r="E66" i="2" s="1"/>
  <c r="F66" i="2" s="1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2" i="2"/>
  <c r="F2" i="2" s="1"/>
  <c r="G64" i="2" l="1"/>
  <c r="G65" i="2" s="1"/>
  <c r="D68" i="2"/>
  <c r="D64" i="2"/>
  <c r="F64" i="2" s="1"/>
</calcChain>
</file>

<file path=xl/sharedStrings.xml><?xml version="1.0" encoding="utf-8"?>
<sst xmlns="http://schemas.openxmlformats.org/spreadsheetml/2006/main" count="334" uniqueCount="212">
  <si>
    <t>69</t>
  </si>
  <si>
    <t>การไฟฟ้านครหลวง  เขตยานนาวา (ฟขว.)</t>
  </si>
  <si>
    <t>55</t>
  </si>
  <si>
    <t>การไฟฟ้านครหลวง  เขตนวลจันทร์ (ฟขจ.)</t>
  </si>
  <si>
    <t>56</t>
  </si>
  <si>
    <t>การไฟฟ้านครหลวง  เขตสามเสน (ฟขส.)</t>
  </si>
  <si>
    <t>57</t>
  </si>
  <si>
    <t>การไฟฟ้านครหลวง  เขตนนทบุรี (ฟขน.)</t>
  </si>
  <si>
    <t>58</t>
  </si>
  <si>
    <t>การไฟฟ้านครหลวง  เขตธนบุรี (ฟขธ.)</t>
  </si>
  <si>
    <t>59</t>
  </si>
  <si>
    <t>การไฟฟ้านครหลวง  เขตบางใหญ่ (ฟขญ.)</t>
  </si>
  <si>
    <t>60</t>
  </si>
  <si>
    <t>การไฟฟ้านครหลวง  เขตลาดกระบัง (ฟขง.)</t>
  </si>
  <si>
    <t>65</t>
  </si>
  <si>
    <t>การไฟฟ้านครหลวง  เขตบางนา (ฟขบ.)</t>
  </si>
  <si>
    <t>66</t>
  </si>
  <si>
    <t>การไฟฟ้านครหลวง  เขตวัดเลียบ (ฟขล.)</t>
  </si>
  <si>
    <t>67</t>
  </si>
  <si>
    <t>การไฟฟ้านครหลวง  เขตคลองเตย (ฟขต.)</t>
  </si>
  <si>
    <t>68</t>
  </si>
  <si>
    <t>การไฟฟ้านครหลวง  เขตราษฎร์บูรณะ (ฟขร.)</t>
  </si>
  <si>
    <t>70</t>
  </si>
  <si>
    <t>การไฟฟ้านครหลวง  เขตบางขุนเทียน (ฟขท.)</t>
  </si>
  <si>
    <t>75</t>
  </si>
  <si>
    <t>การไฟฟ้านครหลวง  เขตบางบัวทอง (ฟขอ.)</t>
  </si>
  <si>
    <t>76</t>
  </si>
  <si>
    <t>การไฟฟ้านครหลวง  เขตบางกะปิ (ฟขก.)</t>
  </si>
  <si>
    <t>77</t>
  </si>
  <si>
    <t>การไฟฟ้านครหลวง เขตสมุทรปราการ (ฟขป.)</t>
  </si>
  <si>
    <t>78</t>
  </si>
  <si>
    <t>การไฟฟ้านครหลวง  เขตบางพลี (ฟขพ.)</t>
  </si>
  <si>
    <t>79</t>
  </si>
  <si>
    <t>การไฟฟ้านครหลวง  เขตมีนบุรี (ฟขม.)</t>
  </si>
  <si>
    <t>80</t>
  </si>
  <si>
    <t>การไฟฟ้านครหลวง  เขตบางเขน</t>
  </si>
  <si>
    <t>ชื่อสายงาน GL รองผู้ว่าการบริการระบบจำหน่าย (รผก.)</t>
  </si>
  <si>
    <t/>
  </si>
  <si>
    <t>44</t>
  </si>
  <si>
    <t>ฝ่ายจัดการทรัพย์สินและรักษาความปลอดภัย</t>
  </si>
  <si>
    <t>29</t>
  </si>
  <si>
    <t>ฝ่ายบำรุงรักษาระบบไฟฟ้า (ฝบร.)</t>
  </si>
  <si>
    <t>36</t>
  </si>
  <si>
    <t>ฝ่ายควบคุมระบบไฟฟ้า (ฝคฟ.)</t>
  </si>
  <si>
    <t>23</t>
  </si>
  <si>
    <t>ฝ่ายออกแบบระบบไฟฟ้า&amp;งานวิศวกรรมโยธา(ฝอบ)</t>
  </si>
  <si>
    <t>46</t>
  </si>
  <si>
    <t>ฝ่ายก่อสร้าง (ฝกส.)</t>
  </si>
  <si>
    <t>9D</t>
  </si>
  <si>
    <t>รองผู้ว่าการปฏิบัติการ (รผป.)</t>
  </si>
  <si>
    <t>ชื่อสายงาน GL รองผู้ว่าการปฏิบัติการระบบส่ง (รผป.)</t>
  </si>
  <si>
    <t>31</t>
  </si>
  <si>
    <t>ฝ่ายธุรกิจบริการและคุณภาพไฟฟ้า</t>
  </si>
  <si>
    <t>30</t>
  </si>
  <si>
    <t>ฝ่ายบริการระบบไฟฟ้า</t>
  </si>
  <si>
    <t>43</t>
  </si>
  <si>
    <t>ฝ่ายธุรกิจขนส่งและผลิตภัณฑ์ (ฝธข.)</t>
  </si>
  <si>
    <t>ชื่อสายงาน GL รองผู้ว่าการธุรกิจ (รผธ.)</t>
  </si>
  <si>
    <t>27</t>
  </si>
  <si>
    <t>ฝ่ายวิจัยและพัฒนา (ฝวจ.)</t>
  </si>
  <si>
    <t>24</t>
  </si>
  <si>
    <t>ฝ่ายพัสดุ (ฝพด.)</t>
  </si>
  <si>
    <t>26</t>
  </si>
  <si>
    <t>ฝ่ายอุปกรณ์งานจำหน่าย (ฝอจ.)</t>
  </si>
  <si>
    <t>ชื่อสายงาน GL รองผู้ว่าการวางแผน&amp;นวัตกรรมระบบไฟฟ้า รผว</t>
  </si>
  <si>
    <t>35</t>
  </si>
  <si>
    <t>ฝ่ายมั่นคงปภ.ไซเบอร์และธรรมาภิบาลข้อมูล</t>
  </si>
  <si>
    <t>33</t>
  </si>
  <si>
    <t>ฝ่ายระบบโครงสร้างพื้นฐาน</t>
  </si>
  <si>
    <t>32</t>
  </si>
  <si>
    <t>ฝ่ายพัฒนาระบบงานเทคโนโลยีสารสนเทศ (ฝพท.)</t>
  </si>
  <si>
    <t>ชื่อสายงาน GL รองผู้ว่าการเทคโนโลยีดิจิทัลฯ  (รผส.)</t>
  </si>
  <si>
    <t>2</t>
  </si>
  <si>
    <t>ฝ่ายสื่อสารองค์กร</t>
  </si>
  <si>
    <t>14</t>
  </si>
  <si>
    <t>ฝ่ายกิจการสังคมและสิ่งแวดล้อม (ฝสส.)</t>
  </si>
  <si>
    <t>ชื่อสายงาน GL (ยกเลิก)รองผู้ว่าการกิจการองค์กรและสังคม</t>
  </si>
  <si>
    <t>หน่วยงาน</t>
  </si>
  <si>
    <t>ขื่อหน่วยงาน</t>
  </si>
  <si>
    <t>สำนักงาน-ปกติ-ชม.</t>
  </si>
  <si>
    <t>สำนักงาน-ปกติ-เงิน</t>
  </si>
  <si>
    <t>สำนักงาน-นอนเวร-ชม.</t>
  </si>
  <si>
    <t>สำนักงาน-นอนเวร-เงิน</t>
  </si>
  <si>
    <t>สำนักงาน-เร่ง-ชม.</t>
  </si>
  <si>
    <t>สำนักงาน-เร่ง-เงิน</t>
  </si>
  <si>
    <t>สำนักงาน-ลูกค้า-ชม.</t>
  </si>
  <si>
    <t>สำนักงาน-ลูกค้า-เงิน</t>
  </si>
  <si>
    <t>สำนักงาน-รวม-ชม.</t>
  </si>
  <si>
    <t>สำนักงาน-รวม-เงิน</t>
  </si>
  <si>
    <t>ลงทุน-ปกติ-ชม.</t>
  </si>
  <si>
    <t>ลงทุน-ปกติ-เงิน</t>
  </si>
  <si>
    <t>ลงทุน-นอนเวร-ชม.</t>
  </si>
  <si>
    <t>ลงทุน-นอนเวร-เงิน</t>
  </si>
  <si>
    <t>ลงทุน-เร่ง-ชม.</t>
  </si>
  <si>
    <t>ลงทุน-เร่ง-เงิน</t>
  </si>
  <si>
    <t>ลงทุน-ลูกค้า-ชม.</t>
  </si>
  <si>
    <t>ลงทุน-ลูกค้า-เงิน</t>
  </si>
  <si>
    <t>ลงทุน-รวม-ชม.</t>
  </si>
  <si>
    <t>ลงทุน-รวม-เงิน</t>
  </si>
  <si>
    <t>ทำการ-ปกติ-ชม.</t>
  </si>
  <si>
    <t>ทำการ-ปกติ-เงิน</t>
  </si>
  <si>
    <t>ทำการ-นอนเวร-ชม.</t>
  </si>
  <si>
    <t>ทำการ-นอนเวร-เงิน</t>
  </si>
  <si>
    <t>ทำการ-เร่ง-ชม.</t>
  </si>
  <si>
    <t>ทำการ-เร่ง-เงิน</t>
  </si>
  <si>
    <t>ทำการ-ลูกค้า-ชม.</t>
  </si>
  <si>
    <t>ทำการ-ลูกค้า-เงิน</t>
  </si>
  <si>
    <t>ทำการ-รวม-ชม.</t>
  </si>
  <si>
    <t>ทำการ-รวม-เงิน</t>
  </si>
  <si>
    <t>ลูกค้า-ปกติ-ชม.</t>
  </si>
  <si>
    <t>ลูกค้า-ปกติ-เงิน</t>
  </si>
  <si>
    <t>ลูกค้า-นอนเวร-ชม.</t>
  </si>
  <si>
    <t>ลูกค้า-นอนเวร-เงิน</t>
  </si>
  <si>
    <t>ลูกค้า-เร่ง-ชม.</t>
  </si>
  <si>
    <t>ลูกค้า-เร่ง-เงิน</t>
  </si>
  <si>
    <t>ลูกค้า-ลูกค้า-ชม.</t>
  </si>
  <si>
    <t>ลูกค้า-ลูกค้า-เงิน</t>
  </si>
  <si>
    <t>ลูกค้า-รวม-ชม.</t>
  </si>
  <si>
    <t>ลูกค้า-รวม-เงิน</t>
  </si>
  <si>
    <t>เข้างาน-ปกติ-ชม.</t>
  </si>
  <si>
    <t>เข้างาน-ปกติ-เงิน</t>
  </si>
  <si>
    <t>เข้างาน-นอนเวร-ชม.</t>
  </si>
  <si>
    <t>เข้างาน-นอนเวร-เงิน</t>
  </si>
  <si>
    <t>เข้างาน-เร่ง-ชม.</t>
  </si>
  <si>
    <t>เข้างาน-เร่ง-เงิน</t>
  </si>
  <si>
    <t>เข้างาน-ลูกค้า-ชม.</t>
  </si>
  <si>
    <t>เข้างาน-ลูกค้า-เงิน</t>
  </si>
  <si>
    <t>เข้างาน-รวม-ชม.</t>
  </si>
  <si>
    <t>เข้างาน-รวม-เงิน</t>
  </si>
  <si>
    <t>สังกัด-ปกติ-ชม.</t>
  </si>
  <si>
    <t>สังกัด-ปกติ-เงิน</t>
  </si>
  <si>
    <t>สังกัด-นอนเวร-ชม.</t>
  </si>
  <si>
    <t>สังกัด-นอนเวร-เงิน</t>
  </si>
  <si>
    <t>สังกัด-เร่ง-ชม.</t>
  </si>
  <si>
    <t>สังกัด-เร่ง-เงิน</t>
  </si>
  <si>
    <t>สังกัด-ลูกค้า-ชม.</t>
  </si>
  <si>
    <t>สังกัด-ลูกค้า-เงิน</t>
  </si>
  <si>
    <t>สังกัด-รวม-ชม.</t>
  </si>
  <si>
    <t>สังกัด-รวม-เงิน</t>
  </si>
  <si>
    <t>ชื่อเดิม</t>
  </si>
  <si>
    <t>ฝ่าย</t>
  </si>
  <si>
    <t>สนง-ปกติ-ชม.</t>
  </si>
  <si>
    <t>สนง-ปกติ-เงิน</t>
  </si>
  <si>
    <t>สนง-นอนเวร-ชม.</t>
  </si>
  <si>
    <t>สนง-นอนเวร-เงิน</t>
  </si>
  <si>
    <t>สนง-เร่ง-ชม.</t>
  </si>
  <si>
    <t>สนง-เร่ง-เงิน</t>
  </si>
  <si>
    <t>สนง-ลูกค้า-ชม.</t>
  </si>
  <si>
    <t>สนง-ลูกค้า-เงิน</t>
  </si>
  <si>
    <t>สนง-รวม-ชม.</t>
  </si>
  <si>
    <t>สนง-รวม-เงิน</t>
  </si>
  <si>
    <t>สนง-ปกติ-THB</t>
  </si>
  <si>
    <t>สนง-นอนเวร-THB</t>
  </si>
  <si>
    <t>สนง-เร่ง-THB</t>
  </si>
  <si>
    <t>สนง-ลูกค้า-THB</t>
  </si>
  <si>
    <t>สนง-รวม-THB</t>
  </si>
  <si>
    <t>ลงทุน-ปกติ-THB</t>
  </si>
  <si>
    <t>ลงทุน-นอนเวร-THB</t>
  </si>
  <si>
    <t>ลงทุน-เร่ง-THB</t>
  </si>
  <si>
    <t>ลงทุน-ลูกค้า-THB</t>
  </si>
  <si>
    <t>ลงทุน-รวม-THB</t>
  </si>
  <si>
    <t>ทำการ-ปกติ-THB</t>
  </si>
  <si>
    <t>ทำการ-นอนเวร-THB</t>
  </si>
  <si>
    <t>ทำการ-เร่ง-THB</t>
  </si>
  <si>
    <t>ทำการ-ลูกค้า-THB</t>
  </si>
  <si>
    <t>ทำการ-รวม-THB</t>
  </si>
  <si>
    <t>ลูกค้า-ปกติ-THB</t>
  </si>
  <si>
    <t>ลูกค้า-นอนเวร-THB</t>
  </si>
  <si>
    <t>ลูกค้า-เร่ง-THB</t>
  </si>
  <si>
    <t>ลูกค้า-ลูกค้า-THB</t>
  </si>
  <si>
    <t>ลูกค้า-รวม-THB</t>
  </si>
  <si>
    <t>เข้างาน-ปกติ-THB</t>
  </si>
  <si>
    <t>เข้างาน-นอนเวร-THB</t>
  </si>
  <si>
    <t>เข้างาน-เร่ง-THB</t>
  </si>
  <si>
    <t>เข้างาน-ลูกค้า-THB</t>
  </si>
  <si>
    <t>เข้างาน-รวม-THB</t>
  </si>
  <si>
    <t>สังกัด-ปกติ-THB</t>
  </si>
  <si>
    <t>สังกัด-นอนเวร-THB</t>
  </si>
  <si>
    <t>สังกัด-เร่ง-THB</t>
  </si>
  <si>
    <t>สังกัด-ลูกค้า-THB</t>
  </si>
  <si>
    <t>สังกัด-รวม-THB</t>
  </si>
  <si>
    <t>สนง-ปกติ-H</t>
  </si>
  <si>
    <t>สนง-นอนเวร-H</t>
  </si>
  <si>
    <t>สนง-เร่ง-H</t>
  </si>
  <si>
    <t>สนง-ลูกค้า-H</t>
  </si>
  <si>
    <t>สนง-รวม-H</t>
  </si>
  <si>
    <t>ลงทุน-ปกติ-H</t>
  </si>
  <si>
    <t>ลงทุน-นอนเวร-H</t>
  </si>
  <si>
    <t>ลงทุน-เร่ง-H</t>
  </si>
  <si>
    <t>ลงทุน-ลูกค้า-H</t>
  </si>
  <si>
    <t>ลงทุน-รวม-H</t>
  </si>
  <si>
    <t>ทำการ-ปกติ-H</t>
  </si>
  <si>
    <t>ทำการ-นอนเวร-H</t>
  </si>
  <si>
    <t>ทำการ-เร่ง-H</t>
  </si>
  <si>
    <t>ทำการ-ลูกค้า-H</t>
  </si>
  <si>
    <t>ทำการ-รวม-H</t>
  </si>
  <si>
    <t>ลูกค้า-ปกติ-H</t>
  </si>
  <si>
    <t>ลูกค้า-นอนเวร-H</t>
  </si>
  <si>
    <t>ลูกค้า-เร่ง-H</t>
  </si>
  <si>
    <t>ลูกค้า-ลูกค้า-H</t>
  </si>
  <si>
    <t>ลูกค้า-รวม-H</t>
  </si>
  <si>
    <t>เข้างาน-ปกติ-H</t>
  </si>
  <si>
    <t>เข้างาน-นอนเวร-H</t>
  </si>
  <si>
    <t>เข้างาน-เร่ง-H</t>
  </si>
  <si>
    <t>เข้างาน-ลูกค้า-H</t>
  </si>
  <si>
    <t>เข้างาน-รวม-H</t>
  </si>
  <si>
    <t>สังกัด-ปกติ-H</t>
  </si>
  <si>
    <t>สังกัด-นอนเวร-H</t>
  </si>
  <si>
    <t>สังกัด-เร่ง-H</t>
  </si>
  <si>
    <t>สังกัด-ลูกค้า-H</t>
  </si>
  <si>
    <t>สังกัด-รวม-H</t>
  </si>
  <si>
    <t>-1,000,000,000.00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</si>
</sst>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4" fontId="1" fillId="0" borderId="0" xfId="0" quotePrefix="1" applyNumberFormat="1" applyFont="1" applyAlignment="1">
      <alignment vertical="top"/>
    </xf>
    <xf numFmtId="0" fontId="0" fillId="0" borderId="0" xfId="0" quotePrefix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1" fillId="5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3"/>
  <sheetViews>
    <sheetView workbookViewId="0">
      <selection sqref="A1:XFD1"/>
    </sheetView>
  </sheetViews>
  <sheetFormatPr defaultRowHeight="12.75" outlineLevelRow="2" x14ac:dyDescent="0.2"/>
  <cols>
    <col min="1" max="1" width="56" bestFit="1" customWidth="1"/>
    <col min="2" max="2" width="42" bestFit="1" customWidth="1"/>
    <col min="3" max="3" width="7" bestFit="1" customWidth="1"/>
    <col min="4" max="4" width="20" bestFit="1" customWidth="1"/>
    <col min="5" max="5" width="7" bestFit="1" customWidth="1"/>
    <col min="6" max="6" width="10" bestFit="1" customWidth="1"/>
    <col min="7" max="9" width="6" bestFit="1" customWidth="1"/>
    <col min="10" max="10" width="14" bestFit="1" customWidth="1"/>
    <col min="11" max="11" width="7" bestFit="1" customWidth="1"/>
    <col min="12" max="12" width="19" bestFit="1" customWidth="1"/>
    <col min="13" max="20" width="6" bestFit="1" customWidth="1"/>
    <col min="21" max="21" width="15" bestFit="1" customWidth="1"/>
    <col min="22" max="23" width="16" bestFit="1" customWidth="1"/>
    <col min="24" max="24" width="17" bestFit="1" customWidth="1"/>
    <col min="25" max="26" width="6" bestFit="1" customWidth="1"/>
    <col min="27" max="27" width="16" bestFit="1" customWidth="1"/>
    <col min="28" max="28" width="17" bestFit="1" customWidth="1"/>
    <col min="29" max="30" width="6" bestFit="1" customWidth="1"/>
    <col min="31" max="31" width="15" bestFit="1" customWidth="1"/>
    <col min="32" max="32" width="16" bestFit="1" customWidth="1"/>
    <col min="33" max="41" width="6" bestFit="1" customWidth="1"/>
    <col min="42" max="42" width="17" bestFit="1" customWidth="1"/>
    <col min="43" max="43" width="7" bestFit="1" customWidth="1"/>
    <col min="44" max="44" width="9" bestFit="1" customWidth="1"/>
    <col min="45" max="46" width="6" bestFit="1" customWidth="1"/>
    <col min="47" max="47" width="7" bestFit="1" customWidth="1"/>
    <col min="48" max="48" width="9" bestFit="1" customWidth="1"/>
    <col min="49" max="51" width="6" bestFit="1" customWidth="1"/>
    <col min="52" max="52" width="18" bestFit="1" customWidth="1"/>
    <col min="53" max="53" width="7" bestFit="1" customWidth="1"/>
    <col min="54" max="54" width="18" bestFit="1" customWidth="1"/>
    <col min="55" max="55" width="7" bestFit="1" customWidth="1"/>
    <col min="56" max="56" width="10" bestFit="1" customWidth="1"/>
    <col min="57" max="57" width="7" bestFit="1" customWidth="1"/>
    <col min="58" max="58" width="18" bestFit="1" customWidth="1"/>
    <col min="59" max="60" width="6" bestFit="1" customWidth="1"/>
    <col min="61" max="61" width="16" bestFit="1" customWidth="1"/>
    <col min="62" max="62" width="17" bestFit="1" customWidth="1"/>
  </cols>
  <sheetData>
    <row r="1" spans="1:62" ht="63.75" x14ac:dyDescent="0.2">
      <c r="A1" s="1" t="s">
        <v>77</v>
      </c>
      <c r="B1" s="1" t="s">
        <v>78</v>
      </c>
      <c r="C1" s="7" t="s">
        <v>79</v>
      </c>
      <c r="D1" s="1" t="s">
        <v>80</v>
      </c>
      <c r="E1" s="7" t="s">
        <v>81</v>
      </c>
      <c r="F1" s="7" t="s">
        <v>82</v>
      </c>
      <c r="G1" s="7" t="s">
        <v>83</v>
      </c>
      <c r="H1" s="7" t="s">
        <v>84</v>
      </c>
      <c r="I1" s="7" t="s">
        <v>85</v>
      </c>
      <c r="J1" s="7" t="s">
        <v>86</v>
      </c>
      <c r="K1" s="7" t="s">
        <v>87</v>
      </c>
      <c r="L1" s="1" t="s">
        <v>88</v>
      </c>
      <c r="M1" s="7" t="s">
        <v>89</v>
      </c>
      <c r="N1" s="7" t="s">
        <v>90</v>
      </c>
      <c r="O1" s="7" t="s">
        <v>91</v>
      </c>
      <c r="P1" s="7" t="s">
        <v>92</v>
      </c>
      <c r="Q1" s="7" t="s">
        <v>93</v>
      </c>
      <c r="R1" s="7" t="s">
        <v>94</v>
      </c>
      <c r="S1" s="7" t="s">
        <v>95</v>
      </c>
      <c r="T1" s="7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7" t="s">
        <v>101</v>
      </c>
      <c r="Z1" s="7" t="s">
        <v>102</v>
      </c>
      <c r="AA1" s="1" t="s">
        <v>103</v>
      </c>
      <c r="AB1" s="1" t="s">
        <v>104</v>
      </c>
      <c r="AC1" s="7" t="s">
        <v>105</v>
      </c>
      <c r="AD1" s="7" t="s">
        <v>106</v>
      </c>
      <c r="AE1" s="1" t="s">
        <v>107</v>
      </c>
      <c r="AF1" s="1" t="s">
        <v>108</v>
      </c>
      <c r="AG1" s="7" t="s">
        <v>109</v>
      </c>
      <c r="AH1" s="7" t="s">
        <v>110</v>
      </c>
      <c r="AI1" s="7" t="s">
        <v>111</v>
      </c>
      <c r="AJ1" s="7" t="s">
        <v>112</v>
      </c>
      <c r="AK1" s="7" t="s">
        <v>113</v>
      </c>
      <c r="AL1" s="7" t="s">
        <v>114</v>
      </c>
      <c r="AM1" s="7" t="s">
        <v>115</v>
      </c>
      <c r="AN1" s="7" t="s">
        <v>116</v>
      </c>
      <c r="AO1" s="7" t="s">
        <v>117</v>
      </c>
      <c r="AP1" s="1" t="s">
        <v>118</v>
      </c>
      <c r="AQ1" s="7" t="s">
        <v>119</v>
      </c>
      <c r="AR1" s="7" t="s">
        <v>120</v>
      </c>
      <c r="AS1" s="7" t="s">
        <v>121</v>
      </c>
      <c r="AT1" s="7" t="s">
        <v>122</v>
      </c>
      <c r="AU1" s="7" t="s">
        <v>123</v>
      </c>
      <c r="AV1" s="7" t="s">
        <v>124</v>
      </c>
      <c r="AW1" s="7" t="s">
        <v>125</v>
      </c>
      <c r="AX1" s="7" t="s">
        <v>126</v>
      </c>
      <c r="AY1" s="7" t="s">
        <v>127</v>
      </c>
      <c r="AZ1" s="1" t="s">
        <v>128</v>
      </c>
      <c r="BA1" s="7" t="s">
        <v>129</v>
      </c>
      <c r="BB1" s="1" t="s">
        <v>130</v>
      </c>
      <c r="BC1" s="7" t="s">
        <v>131</v>
      </c>
      <c r="BD1" s="7" t="s">
        <v>132</v>
      </c>
      <c r="BE1" s="7" t="s">
        <v>133</v>
      </c>
      <c r="BF1" s="1" t="s">
        <v>134</v>
      </c>
      <c r="BG1" s="7" t="s">
        <v>135</v>
      </c>
      <c r="BH1" s="7" t="s">
        <v>136</v>
      </c>
      <c r="BI1" s="1" t="s">
        <v>137</v>
      </c>
      <c r="BJ1" s="1" t="s">
        <v>138</v>
      </c>
    </row>
    <row r="2" spans="1:62" outlineLevel="2" x14ac:dyDescent="0.2">
      <c r="A2" t="s">
        <v>0</v>
      </c>
      <c r="B2" t="s">
        <v>1</v>
      </c>
      <c r="C2" s="2">
        <v>0</v>
      </c>
      <c r="D2" s="2">
        <v>10594317.199999999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10627422.199999999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-1500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-1500</v>
      </c>
      <c r="BA2" s="2">
        <v>0</v>
      </c>
      <c r="BB2" s="2">
        <v>10594317.199999999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10625922.199999999</v>
      </c>
    </row>
    <row r="3" spans="1:62" outlineLevel="2" x14ac:dyDescent="0.2">
      <c r="A3" t="s">
        <v>2</v>
      </c>
      <c r="B3" t="s">
        <v>3</v>
      </c>
      <c r="C3" s="2">
        <v>0</v>
      </c>
      <c r="D3" s="2">
        <v>8153882.8499999996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8169843.8499999996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555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555</v>
      </c>
      <c r="BA3" s="2">
        <v>0</v>
      </c>
      <c r="BB3" s="2">
        <v>8153882.8499999996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8170398.8499999996</v>
      </c>
    </row>
    <row r="4" spans="1:62" outlineLevel="2" x14ac:dyDescent="0.2">
      <c r="A4" t="s">
        <v>4</v>
      </c>
      <c r="B4" t="s">
        <v>5</v>
      </c>
      <c r="C4" s="2">
        <v>-2</v>
      </c>
      <c r="D4" s="2">
        <v>10237322.84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-2</v>
      </c>
      <c r="L4" s="2">
        <v>10259227.84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11.25</v>
      </c>
      <c r="X4" s="2">
        <v>1138.6400000000001</v>
      </c>
      <c r="Y4" s="2">
        <v>0</v>
      </c>
      <c r="Z4" s="2">
        <v>0</v>
      </c>
      <c r="AA4" s="2">
        <v>-4</v>
      </c>
      <c r="AB4" s="2">
        <v>-362.86</v>
      </c>
      <c r="AC4" s="2">
        <v>0</v>
      </c>
      <c r="AD4" s="2">
        <v>0</v>
      </c>
      <c r="AE4" s="2">
        <v>7.25</v>
      </c>
      <c r="AF4" s="2">
        <v>775.78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11.25</v>
      </c>
      <c r="AR4" s="2">
        <v>1138.6400000000001</v>
      </c>
      <c r="AS4" s="2">
        <v>0</v>
      </c>
      <c r="AT4" s="2">
        <v>0</v>
      </c>
      <c r="AU4" s="2">
        <v>-4</v>
      </c>
      <c r="AV4" s="2">
        <v>-362.86</v>
      </c>
      <c r="AW4" s="2">
        <v>0</v>
      </c>
      <c r="AX4" s="2">
        <v>0</v>
      </c>
      <c r="AY4" s="2">
        <v>7.25</v>
      </c>
      <c r="AZ4" s="2">
        <v>775.78</v>
      </c>
      <c r="BA4" s="2">
        <v>9.25</v>
      </c>
      <c r="BB4" s="2">
        <v>10238461.48</v>
      </c>
      <c r="BC4" s="2">
        <v>0</v>
      </c>
      <c r="BD4" s="2">
        <v>0</v>
      </c>
      <c r="BE4" s="2">
        <v>-4</v>
      </c>
      <c r="BF4" s="2">
        <v>-362.86</v>
      </c>
      <c r="BG4" s="2">
        <v>0</v>
      </c>
      <c r="BH4" s="2">
        <v>0</v>
      </c>
      <c r="BI4" s="2">
        <v>5.25</v>
      </c>
      <c r="BJ4" s="2">
        <v>10260003.619999999</v>
      </c>
    </row>
    <row r="5" spans="1:62" outlineLevel="2" x14ac:dyDescent="0.2">
      <c r="A5" t="s">
        <v>6</v>
      </c>
      <c r="B5" t="s">
        <v>7</v>
      </c>
      <c r="C5" s="2">
        <v>0</v>
      </c>
      <c r="D5" s="2">
        <v>6161250.6399999997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6175065.6399999997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6161250.6399999997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6175065.6399999997</v>
      </c>
    </row>
    <row r="6" spans="1:62" outlineLevel="2" x14ac:dyDescent="0.2">
      <c r="A6" t="s">
        <v>8</v>
      </c>
      <c r="B6" t="s">
        <v>9</v>
      </c>
      <c r="C6" s="2">
        <v>0</v>
      </c>
      <c r="D6" s="2">
        <v>6177428.9699999997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6191747.9699999997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6177428.9699999997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6191747.9699999997</v>
      </c>
    </row>
    <row r="7" spans="1:62" outlineLevel="2" x14ac:dyDescent="0.2">
      <c r="A7" t="s">
        <v>10</v>
      </c>
      <c r="B7" t="s">
        <v>11</v>
      </c>
      <c r="C7" s="2">
        <v>0</v>
      </c>
      <c r="D7" s="2">
        <v>12405392.82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12435542.82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12405392.82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12435542.82</v>
      </c>
    </row>
    <row r="8" spans="1:62" outlineLevel="2" x14ac:dyDescent="0.2">
      <c r="A8" t="s">
        <v>12</v>
      </c>
      <c r="B8" t="s">
        <v>13</v>
      </c>
      <c r="C8" s="2">
        <v>0</v>
      </c>
      <c r="D8" s="2">
        <v>8304880.3600000003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8326100.3600000003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8304880.3600000003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8326100.3600000003</v>
      </c>
    </row>
    <row r="9" spans="1:62" outlineLevel="2" x14ac:dyDescent="0.2">
      <c r="A9" t="s">
        <v>14</v>
      </c>
      <c r="B9" t="s">
        <v>15</v>
      </c>
      <c r="C9" s="2">
        <v>0</v>
      </c>
      <c r="D9" s="2">
        <v>6247534.9500000002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6264037.9500000002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6247534.9500000002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6264037.9500000002</v>
      </c>
    </row>
    <row r="10" spans="1:62" outlineLevel="2" x14ac:dyDescent="0.2">
      <c r="A10" t="s">
        <v>16</v>
      </c>
      <c r="B10" t="s">
        <v>17</v>
      </c>
      <c r="C10" s="2">
        <v>0</v>
      </c>
      <c r="D10" s="2">
        <v>12543604.800000001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12578122.800000001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12543604.800000001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12578122.800000001</v>
      </c>
    </row>
    <row r="11" spans="1:62" outlineLevel="2" x14ac:dyDescent="0.2">
      <c r="A11" t="s">
        <v>18</v>
      </c>
      <c r="B11" t="s">
        <v>19</v>
      </c>
      <c r="C11" s="2">
        <v>0</v>
      </c>
      <c r="D11" s="2">
        <v>10502437.73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10532742.73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10502437.73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10532742.73</v>
      </c>
    </row>
    <row r="12" spans="1:62" outlineLevel="2" x14ac:dyDescent="0.2">
      <c r="A12" t="s">
        <v>20</v>
      </c>
      <c r="B12" t="s">
        <v>21</v>
      </c>
      <c r="C12" s="2">
        <v>0</v>
      </c>
      <c r="D12" s="2">
        <v>10547377.449999999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10579082.449999999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10547377.449999999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10579082.449999999</v>
      </c>
    </row>
    <row r="13" spans="1:62" outlineLevel="2" x14ac:dyDescent="0.2">
      <c r="A13" t="s">
        <v>22</v>
      </c>
      <c r="B13" t="s">
        <v>23</v>
      </c>
      <c r="C13" s="2">
        <v>0</v>
      </c>
      <c r="D13" s="2">
        <v>6376961.4000000004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6397496.4000000004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6376961.4000000004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6397496.4000000004</v>
      </c>
    </row>
    <row r="14" spans="1:62" outlineLevel="2" x14ac:dyDescent="0.2">
      <c r="A14" t="s">
        <v>24</v>
      </c>
      <c r="B14" t="s">
        <v>25</v>
      </c>
      <c r="C14" s="2">
        <v>0</v>
      </c>
      <c r="D14" s="2">
        <v>8527781.4199999999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8555945.4199999999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8527781.4199999999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8555945.4199999999</v>
      </c>
    </row>
    <row r="15" spans="1:62" outlineLevel="2" x14ac:dyDescent="0.2">
      <c r="A15" t="s">
        <v>26</v>
      </c>
      <c r="B15" t="s">
        <v>27</v>
      </c>
      <c r="C15" s="2">
        <v>0</v>
      </c>
      <c r="D15" s="2">
        <v>8556542.8900000006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8585602.8900000006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8556542.8900000006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8585602.8900000006</v>
      </c>
    </row>
    <row r="16" spans="1:62" outlineLevel="2" x14ac:dyDescent="0.2">
      <c r="A16" t="s">
        <v>28</v>
      </c>
      <c r="B16" t="s">
        <v>29</v>
      </c>
      <c r="C16" s="2">
        <v>0</v>
      </c>
      <c r="D16" s="2">
        <v>12888741.98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12934011.98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12888741.98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12934011.98</v>
      </c>
    </row>
    <row r="17" spans="1:62" outlineLevel="2" x14ac:dyDescent="0.2">
      <c r="A17" t="s">
        <v>30</v>
      </c>
      <c r="B17" t="s">
        <v>31</v>
      </c>
      <c r="C17" s="2">
        <v>0</v>
      </c>
      <c r="D17" s="2">
        <v>10790052.039999999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10829317.039999999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10790052.039999999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10829317.039999999</v>
      </c>
    </row>
    <row r="18" spans="1:62" outlineLevel="2" x14ac:dyDescent="0.2">
      <c r="A18" t="s">
        <v>32</v>
      </c>
      <c r="B18" t="s">
        <v>33</v>
      </c>
      <c r="C18" s="2">
        <v>0</v>
      </c>
      <c r="D18" s="2">
        <v>6496602.2999999998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6520833.2999999998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6496602.2999999998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6520833.2999999998</v>
      </c>
    </row>
    <row r="19" spans="1:62" outlineLevel="2" x14ac:dyDescent="0.2">
      <c r="A19" t="s">
        <v>34</v>
      </c>
      <c r="B19" t="s">
        <v>35</v>
      </c>
      <c r="C19" s="2">
        <v>0</v>
      </c>
      <c r="D19" s="2">
        <v>8686969.3000000007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8720061.3000000007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8686969.3000000007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8720061.3000000007</v>
      </c>
    </row>
    <row r="20" spans="1:62" outlineLevel="1" x14ac:dyDescent="0.2">
      <c r="A20" s="3" t="s">
        <v>36</v>
      </c>
      <c r="B20" s="3" t="s">
        <v>37</v>
      </c>
      <c r="C20" s="4">
        <v>-2</v>
      </c>
      <c r="D20" s="4">
        <v>164199081.94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-2</v>
      </c>
      <c r="L20" s="4">
        <v>164682204.94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11.25</v>
      </c>
      <c r="X20" s="4">
        <v>1138.6400000000001</v>
      </c>
      <c r="Y20" s="4">
        <v>0</v>
      </c>
      <c r="Z20" s="4">
        <v>0</v>
      </c>
      <c r="AA20" s="4">
        <v>-4</v>
      </c>
      <c r="AB20" s="4">
        <v>-362.86</v>
      </c>
      <c r="AC20" s="4">
        <v>0</v>
      </c>
      <c r="AD20" s="4">
        <v>0</v>
      </c>
      <c r="AE20" s="4">
        <v>7.25</v>
      </c>
      <c r="AF20" s="4">
        <v>-169.22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11.25</v>
      </c>
      <c r="AR20" s="4">
        <v>1138.6400000000001</v>
      </c>
      <c r="AS20" s="4">
        <v>0</v>
      </c>
      <c r="AT20" s="4">
        <v>0</v>
      </c>
      <c r="AU20" s="4">
        <v>-4</v>
      </c>
      <c r="AV20" s="4">
        <v>-362.86</v>
      </c>
      <c r="AW20" s="4">
        <v>0</v>
      </c>
      <c r="AX20" s="4">
        <v>0</v>
      </c>
      <c r="AY20" s="4">
        <v>7.25</v>
      </c>
      <c r="AZ20" s="4">
        <v>-169.22</v>
      </c>
      <c r="BA20" s="4">
        <v>9.25</v>
      </c>
      <c r="BB20" s="4">
        <v>164200220.58000001</v>
      </c>
      <c r="BC20" s="4">
        <v>0</v>
      </c>
      <c r="BD20" s="4">
        <v>0</v>
      </c>
      <c r="BE20" s="4">
        <v>-4</v>
      </c>
      <c r="BF20" s="4">
        <v>-362.86</v>
      </c>
      <c r="BG20" s="4">
        <v>0</v>
      </c>
      <c r="BH20" s="4">
        <v>0</v>
      </c>
      <c r="BI20" s="4">
        <v>5.25</v>
      </c>
      <c r="BJ20" s="4">
        <v>164682035.72</v>
      </c>
    </row>
    <row r="21" spans="1:62" outlineLevel="2" x14ac:dyDescent="0.2">
      <c r="A21" t="s">
        <v>38</v>
      </c>
      <c r="B21" t="s">
        <v>39</v>
      </c>
      <c r="C21" s="2">
        <v>0</v>
      </c>
      <c r="D21" s="2">
        <v>2000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2000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-2002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-2002</v>
      </c>
      <c r="BA21" s="2">
        <v>0</v>
      </c>
      <c r="BB21" s="2">
        <v>2000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-2</v>
      </c>
    </row>
    <row r="22" spans="1:62" outlineLevel="2" x14ac:dyDescent="0.2">
      <c r="A22" t="s">
        <v>40</v>
      </c>
      <c r="B22" t="s">
        <v>41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1000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1000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1000</v>
      </c>
    </row>
    <row r="23" spans="1:62" outlineLevel="2" x14ac:dyDescent="0.2">
      <c r="A23" t="s">
        <v>42</v>
      </c>
      <c r="B23" t="s">
        <v>43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-1000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-1000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-1000</v>
      </c>
    </row>
    <row r="24" spans="1:62" outlineLevel="2" x14ac:dyDescent="0.2">
      <c r="A24" t="s">
        <v>44</v>
      </c>
      <c r="B24" t="s">
        <v>45</v>
      </c>
      <c r="C24" s="2">
        <v>0</v>
      </c>
      <c r="D24" s="2">
        <v>1000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1000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1000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1000</v>
      </c>
    </row>
    <row r="25" spans="1:62" outlineLevel="2" x14ac:dyDescent="0.2">
      <c r="A25" t="s">
        <v>46</v>
      </c>
      <c r="B25" t="s">
        <v>47</v>
      </c>
      <c r="C25" s="2">
        <v>9</v>
      </c>
      <c r="D25" s="2">
        <v>-813.16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9</v>
      </c>
      <c r="L25" s="2">
        <v>-813.16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9</v>
      </c>
      <c r="BB25" s="2">
        <v>-813.16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9</v>
      </c>
      <c r="BJ25" s="2">
        <v>-813.16</v>
      </c>
    </row>
    <row r="26" spans="1:62" outlineLevel="2" x14ac:dyDescent="0.2">
      <c r="A26" t="s">
        <v>48</v>
      </c>
      <c r="B26" t="s">
        <v>49</v>
      </c>
      <c r="C26" s="2">
        <v>0</v>
      </c>
      <c r="D26" s="2">
        <v>-15007.6</v>
      </c>
      <c r="E26" s="2">
        <v>56</v>
      </c>
      <c r="F26" s="2">
        <v>15007.6</v>
      </c>
      <c r="G26" s="2">
        <v>0</v>
      </c>
      <c r="H26" s="2">
        <v>0</v>
      </c>
      <c r="I26" s="2">
        <v>0</v>
      </c>
      <c r="J26" s="2">
        <v>0</v>
      </c>
      <c r="K26" s="2">
        <v>56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-15007.6</v>
      </c>
      <c r="BC26" s="2">
        <v>56</v>
      </c>
      <c r="BD26" s="2">
        <v>15007.6</v>
      </c>
      <c r="BE26" s="2">
        <v>0</v>
      </c>
      <c r="BF26" s="2">
        <v>0</v>
      </c>
      <c r="BG26" s="2">
        <v>0</v>
      </c>
      <c r="BH26" s="2">
        <v>0</v>
      </c>
      <c r="BI26" s="2">
        <v>56</v>
      </c>
      <c r="BJ26" s="2">
        <v>0</v>
      </c>
    </row>
    <row r="27" spans="1:62" outlineLevel="1" x14ac:dyDescent="0.2">
      <c r="A27" s="3" t="s">
        <v>50</v>
      </c>
      <c r="B27" s="3" t="s">
        <v>37</v>
      </c>
      <c r="C27" s="4">
        <v>9</v>
      </c>
      <c r="D27" s="4">
        <v>-12820.76</v>
      </c>
      <c r="E27" s="4">
        <v>56</v>
      </c>
      <c r="F27" s="4">
        <v>15007.6</v>
      </c>
      <c r="G27" s="4">
        <v>0</v>
      </c>
      <c r="H27" s="4">
        <v>0</v>
      </c>
      <c r="I27" s="4">
        <v>0</v>
      </c>
      <c r="J27" s="4">
        <v>0</v>
      </c>
      <c r="K27" s="4">
        <v>65</v>
      </c>
      <c r="L27" s="4">
        <v>2186.84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-2002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-2002</v>
      </c>
      <c r="BA27" s="4">
        <v>9</v>
      </c>
      <c r="BB27" s="4">
        <v>-12820.76</v>
      </c>
      <c r="BC27" s="4">
        <v>56</v>
      </c>
      <c r="BD27" s="4">
        <v>15007.6</v>
      </c>
      <c r="BE27" s="4">
        <v>0</v>
      </c>
      <c r="BF27" s="4">
        <v>0</v>
      </c>
      <c r="BG27" s="4">
        <v>0</v>
      </c>
      <c r="BH27" s="4">
        <v>0</v>
      </c>
      <c r="BI27" s="4">
        <v>65</v>
      </c>
      <c r="BJ27" s="4">
        <v>184.84</v>
      </c>
    </row>
    <row r="28" spans="1:62" outlineLevel="2" x14ac:dyDescent="0.2">
      <c r="A28" t="s">
        <v>51</v>
      </c>
      <c r="B28" t="s">
        <v>52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2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2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2</v>
      </c>
    </row>
    <row r="29" spans="1:62" outlineLevel="2" x14ac:dyDescent="0.2">
      <c r="A29" t="s">
        <v>53</v>
      </c>
      <c r="B29" t="s">
        <v>54</v>
      </c>
      <c r="C29" s="2">
        <v>0</v>
      </c>
      <c r="D29" s="2">
        <v>2000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2000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2000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2000</v>
      </c>
    </row>
    <row r="30" spans="1:62" outlineLevel="2" x14ac:dyDescent="0.2">
      <c r="A30" t="s">
        <v>55</v>
      </c>
      <c r="B30" t="s">
        <v>56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 spans="1:62" outlineLevel="1" x14ac:dyDescent="0.2">
      <c r="A31" s="3" t="s">
        <v>57</v>
      </c>
      <c r="B31" s="3" t="s">
        <v>37</v>
      </c>
      <c r="C31" s="4">
        <v>0</v>
      </c>
      <c r="D31" s="4">
        <v>2000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2000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2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2</v>
      </c>
      <c r="BA31" s="4">
        <v>0</v>
      </c>
      <c r="BB31" s="4">
        <v>2000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2002</v>
      </c>
    </row>
    <row r="32" spans="1:62" outlineLevel="2" x14ac:dyDescent="0.2">
      <c r="A32" t="s">
        <v>58</v>
      </c>
      <c r="B32" t="s">
        <v>59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2000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2000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2000</v>
      </c>
    </row>
    <row r="33" spans="1:62" outlineLevel="2" x14ac:dyDescent="0.2">
      <c r="A33" t="s">
        <v>60</v>
      </c>
      <c r="B33" t="s">
        <v>61</v>
      </c>
      <c r="C33" s="2">
        <v>0</v>
      </c>
      <c r="D33" s="2">
        <v>1000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1000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1000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1000</v>
      </c>
    </row>
    <row r="34" spans="1:62" outlineLevel="2" x14ac:dyDescent="0.2">
      <c r="A34" t="s">
        <v>62</v>
      </c>
      <c r="B34" t="s">
        <v>63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</row>
    <row r="35" spans="1:62" outlineLevel="1" x14ac:dyDescent="0.2">
      <c r="A35" s="3" t="s">
        <v>64</v>
      </c>
      <c r="B35" s="3" t="s">
        <v>37</v>
      </c>
      <c r="C35" s="4">
        <v>0</v>
      </c>
      <c r="D35" s="4">
        <v>1000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1000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2000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2000</v>
      </c>
      <c r="BA35" s="4">
        <v>0</v>
      </c>
      <c r="BB35" s="4">
        <v>1000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3000</v>
      </c>
    </row>
    <row r="36" spans="1:62" outlineLevel="2" x14ac:dyDescent="0.2">
      <c r="A36" t="s">
        <v>65</v>
      </c>
      <c r="B36" t="s">
        <v>66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1500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1500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1500</v>
      </c>
    </row>
    <row r="37" spans="1:62" outlineLevel="2" x14ac:dyDescent="0.2">
      <c r="A37" t="s">
        <v>67</v>
      </c>
      <c r="B37" t="s">
        <v>68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</row>
    <row r="38" spans="1:62" outlineLevel="2" x14ac:dyDescent="0.2">
      <c r="A38" t="s">
        <v>69</v>
      </c>
      <c r="B38" t="s">
        <v>70</v>
      </c>
      <c r="C38" s="2">
        <v>9</v>
      </c>
      <c r="D38" s="2">
        <v>-771.42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9</v>
      </c>
      <c r="L38" s="2">
        <v>-771.42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9</v>
      </c>
      <c r="BB38" s="2">
        <v>-771.42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9</v>
      </c>
      <c r="BJ38" s="2">
        <v>-771.42</v>
      </c>
    </row>
    <row r="39" spans="1:62" outlineLevel="1" x14ac:dyDescent="0.2">
      <c r="A39" s="3" t="s">
        <v>71</v>
      </c>
      <c r="B39" s="3" t="s">
        <v>37</v>
      </c>
      <c r="C39" s="4">
        <v>9</v>
      </c>
      <c r="D39" s="4">
        <v>-771.42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9</v>
      </c>
      <c r="L39" s="4">
        <v>-771.42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1500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1500</v>
      </c>
      <c r="BA39" s="4">
        <v>9</v>
      </c>
      <c r="BB39" s="4">
        <v>-771.42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9</v>
      </c>
      <c r="BJ39" s="4">
        <v>728.58</v>
      </c>
    </row>
    <row r="40" spans="1:62" outlineLevel="2" x14ac:dyDescent="0.2">
      <c r="A40" t="s">
        <v>72</v>
      </c>
      <c r="B40" t="s">
        <v>73</v>
      </c>
      <c r="C40" s="2">
        <v>-1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-1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-1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-1</v>
      </c>
      <c r="BJ40" s="2">
        <v>0</v>
      </c>
    </row>
    <row r="41" spans="1:62" outlineLevel="2" x14ac:dyDescent="0.2">
      <c r="A41" t="s">
        <v>74</v>
      </c>
      <c r="B41" t="s">
        <v>75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</row>
    <row r="42" spans="1:62" outlineLevel="1" x14ac:dyDescent="0.2">
      <c r="A42" s="3" t="s">
        <v>76</v>
      </c>
      <c r="B42" s="3" t="s">
        <v>37</v>
      </c>
      <c r="C42" s="4">
        <v>-1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-1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-1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-1</v>
      </c>
      <c r="BJ42" s="4">
        <v>0</v>
      </c>
    </row>
    <row r="43" spans="1:62" x14ac:dyDescent="0.2">
      <c r="A43" s="5" t="s">
        <v>37</v>
      </c>
      <c r="B43" s="5" t="s">
        <v>37</v>
      </c>
      <c r="C43" s="6">
        <v>15</v>
      </c>
      <c r="D43" s="6">
        <v>164188489.75999999</v>
      </c>
      <c r="E43" s="6">
        <v>56</v>
      </c>
      <c r="F43" s="6">
        <v>15007.6</v>
      </c>
      <c r="G43" s="6">
        <v>0</v>
      </c>
      <c r="H43" s="6">
        <v>0</v>
      </c>
      <c r="I43" s="6">
        <v>0</v>
      </c>
      <c r="J43" s="6">
        <v>0</v>
      </c>
      <c r="K43" s="6">
        <v>71</v>
      </c>
      <c r="L43" s="6">
        <v>164686620.36000001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11.25</v>
      </c>
      <c r="X43" s="6">
        <v>1138.6400000000001</v>
      </c>
      <c r="Y43" s="6">
        <v>0</v>
      </c>
      <c r="Z43" s="6">
        <v>0</v>
      </c>
      <c r="AA43" s="6">
        <v>-4</v>
      </c>
      <c r="AB43" s="6">
        <v>-362.86</v>
      </c>
      <c r="AC43" s="6">
        <v>0</v>
      </c>
      <c r="AD43" s="6">
        <v>0</v>
      </c>
      <c r="AE43" s="6">
        <v>7.25</v>
      </c>
      <c r="AF43" s="6">
        <v>-669.22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2000</v>
      </c>
      <c r="AQ43" s="6">
        <v>11.25</v>
      </c>
      <c r="AR43" s="6">
        <v>1138.6400000000001</v>
      </c>
      <c r="AS43" s="6">
        <v>0</v>
      </c>
      <c r="AT43" s="6">
        <v>0</v>
      </c>
      <c r="AU43" s="6">
        <v>-4</v>
      </c>
      <c r="AV43" s="6">
        <v>-362.86</v>
      </c>
      <c r="AW43" s="6">
        <v>0</v>
      </c>
      <c r="AX43" s="6">
        <v>0</v>
      </c>
      <c r="AY43" s="6">
        <v>7.25</v>
      </c>
      <c r="AZ43" s="6">
        <v>1330.78</v>
      </c>
      <c r="BA43" s="6">
        <v>26.25</v>
      </c>
      <c r="BB43" s="6">
        <v>164189628.40000001</v>
      </c>
      <c r="BC43" s="6">
        <v>56</v>
      </c>
      <c r="BD43" s="6">
        <v>15007.6</v>
      </c>
      <c r="BE43" s="6">
        <v>-4</v>
      </c>
      <c r="BF43" s="6">
        <v>-362.86</v>
      </c>
      <c r="BG43" s="6">
        <v>0</v>
      </c>
      <c r="BH43" s="6">
        <v>0</v>
      </c>
      <c r="BI43" s="6">
        <v>78.25</v>
      </c>
      <c r="BJ43" s="6">
        <v>164687951.13999999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L15" sqref="L15"/>
    </sheetView>
  </sheetViews>
  <sheetFormatPr defaultRowHeight="12.75" x14ac:dyDescent="0.2"/>
  <cols>
    <col min="1" max="1" width="22.85546875" customWidth="1"/>
    <col min="2" max="2" width="22.85546875" hidden="1" customWidth="1"/>
    <col min="3" max="3" width="22.85546875" customWidth="1"/>
  </cols>
  <sheetData>
    <row r="1" spans="1:12" x14ac:dyDescent="0.2">
      <c r="A1" s="8" t="s">
        <v>139</v>
      </c>
    </row>
    <row r="2" spans="1:12" x14ac:dyDescent="0.2">
      <c r="A2" s="1" t="s">
        <v>77</v>
      </c>
      <c r="B2" s="8" t="s">
        <v>140</v>
      </c>
      <c r="C2" s="15" t="s">
        <v>140</v>
      </c>
      <c r="D2">
        <f>LEN(A2)</f>
        <v>8</v>
      </c>
      <c r="E2">
        <v>8</v>
      </c>
      <c r="F2" t="b">
        <f>D2=E2</f>
        <v>1</v>
      </c>
      <c r="G2">
        <f>LEN(B2)</f>
        <v>4</v>
      </c>
      <c r="H2">
        <v>4</v>
      </c>
      <c r="I2">
        <f>LEN(C2)</f>
        <v>4</v>
      </c>
    </row>
    <row r="3" spans="1:12" x14ac:dyDescent="0.2">
      <c r="A3" s="1" t="s">
        <v>78</v>
      </c>
      <c r="B3" s="9" t="s">
        <v>78</v>
      </c>
      <c r="C3" s="9" t="s">
        <v>78</v>
      </c>
      <c r="D3">
        <v>40</v>
      </c>
      <c r="E3">
        <v>40</v>
      </c>
      <c r="F3" t="b">
        <f t="shared" ref="F3:F66" si="0">D3=E3</f>
        <v>1</v>
      </c>
      <c r="G3">
        <v>40</v>
      </c>
      <c r="H3">
        <v>40</v>
      </c>
      <c r="I3">
        <v>40</v>
      </c>
    </row>
    <row r="4" spans="1:12" x14ac:dyDescent="0.2">
      <c r="A4" s="7" t="s">
        <v>79</v>
      </c>
      <c r="B4" s="13" t="s">
        <v>141</v>
      </c>
      <c r="C4" s="13" t="s">
        <v>181</v>
      </c>
      <c r="D4">
        <f t="shared" ref="D4:D63" si="1">LEN(A4)</f>
        <v>17</v>
      </c>
      <c r="E4">
        <v>17</v>
      </c>
      <c r="F4" t="b">
        <f t="shared" si="0"/>
        <v>1</v>
      </c>
      <c r="G4">
        <f t="shared" ref="G4:G35" si="2">LEN(B4)</f>
        <v>12</v>
      </c>
      <c r="H4">
        <v>12</v>
      </c>
      <c r="I4">
        <f t="shared" ref="I4:I62" si="3">LEN(C4)</f>
        <v>10</v>
      </c>
    </row>
    <row r="5" spans="1:12" x14ac:dyDescent="0.2">
      <c r="A5" s="1" t="s">
        <v>80</v>
      </c>
      <c r="B5" s="14" t="s">
        <v>142</v>
      </c>
      <c r="C5" s="14" t="s">
        <v>151</v>
      </c>
      <c r="D5">
        <f t="shared" si="1"/>
        <v>18</v>
      </c>
      <c r="E5">
        <v>18</v>
      </c>
      <c r="F5" t="b">
        <f t="shared" si="0"/>
        <v>1</v>
      </c>
      <c r="G5">
        <f t="shared" si="2"/>
        <v>13</v>
      </c>
      <c r="H5">
        <v>16</v>
      </c>
      <c r="I5">
        <v>17</v>
      </c>
    </row>
    <row r="6" spans="1:12" x14ac:dyDescent="0.2">
      <c r="A6" s="7" t="s">
        <v>81</v>
      </c>
      <c r="B6" s="13" t="s">
        <v>143</v>
      </c>
      <c r="C6" s="13" t="s">
        <v>182</v>
      </c>
      <c r="D6">
        <f t="shared" si="1"/>
        <v>19</v>
      </c>
      <c r="E6">
        <v>19</v>
      </c>
      <c r="F6" t="b">
        <f t="shared" si="0"/>
        <v>1</v>
      </c>
      <c r="G6">
        <f t="shared" si="2"/>
        <v>14</v>
      </c>
      <c r="H6">
        <v>14</v>
      </c>
      <c r="I6">
        <f t="shared" si="3"/>
        <v>12</v>
      </c>
    </row>
    <row r="7" spans="1:12" x14ac:dyDescent="0.2">
      <c r="A7" s="7" t="s">
        <v>82</v>
      </c>
      <c r="B7" s="13" t="s">
        <v>144</v>
      </c>
      <c r="C7" s="13" t="s">
        <v>152</v>
      </c>
      <c r="D7">
        <f t="shared" si="1"/>
        <v>20</v>
      </c>
      <c r="E7">
        <v>20</v>
      </c>
      <c r="F7" t="b">
        <f t="shared" si="0"/>
        <v>1</v>
      </c>
      <c r="G7">
        <f t="shared" si="2"/>
        <v>15</v>
      </c>
      <c r="H7">
        <v>16</v>
      </c>
      <c r="I7">
        <v>17</v>
      </c>
    </row>
    <row r="8" spans="1:12" x14ac:dyDescent="0.2">
      <c r="A8" s="7" t="s">
        <v>83</v>
      </c>
      <c r="B8" s="13" t="s">
        <v>145</v>
      </c>
      <c r="C8" s="13" t="s">
        <v>183</v>
      </c>
      <c r="D8">
        <f t="shared" si="1"/>
        <v>17</v>
      </c>
      <c r="E8">
        <v>17</v>
      </c>
      <c r="F8" t="b">
        <f t="shared" si="0"/>
        <v>1</v>
      </c>
      <c r="G8">
        <f t="shared" si="2"/>
        <v>12</v>
      </c>
      <c r="H8">
        <v>12</v>
      </c>
      <c r="I8">
        <f t="shared" si="3"/>
        <v>10</v>
      </c>
    </row>
    <row r="9" spans="1:12" x14ac:dyDescent="0.2">
      <c r="A9" s="7" t="s">
        <v>84</v>
      </c>
      <c r="B9" s="13" t="s">
        <v>146</v>
      </c>
      <c r="C9" s="13" t="s">
        <v>153</v>
      </c>
      <c r="D9">
        <f t="shared" si="1"/>
        <v>18</v>
      </c>
      <c r="E9">
        <v>18</v>
      </c>
      <c r="F9" t="b">
        <f t="shared" si="0"/>
        <v>1</v>
      </c>
      <c r="G9">
        <f t="shared" si="2"/>
        <v>13</v>
      </c>
      <c r="H9">
        <v>16</v>
      </c>
      <c r="I9">
        <v>17</v>
      </c>
    </row>
    <row r="10" spans="1:12" x14ac:dyDescent="0.2">
      <c r="A10" s="7" t="s">
        <v>85</v>
      </c>
      <c r="B10" s="13" t="s">
        <v>147</v>
      </c>
      <c r="C10" s="13" t="s">
        <v>184</v>
      </c>
      <c r="D10">
        <f t="shared" si="1"/>
        <v>19</v>
      </c>
      <c r="E10">
        <v>19</v>
      </c>
      <c r="F10" t="b">
        <f t="shared" si="0"/>
        <v>1</v>
      </c>
      <c r="G10">
        <f t="shared" si="2"/>
        <v>14</v>
      </c>
      <c r="H10">
        <v>14</v>
      </c>
      <c r="I10">
        <f t="shared" si="3"/>
        <v>12</v>
      </c>
    </row>
    <row r="11" spans="1:12" x14ac:dyDescent="0.2">
      <c r="A11" s="7" t="s">
        <v>86</v>
      </c>
      <c r="B11" s="13" t="s">
        <v>148</v>
      </c>
      <c r="C11" s="13" t="s">
        <v>154</v>
      </c>
      <c r="D11">
        <f t="shared" si="1"/>
        <v>20</v>
      </c>
      <c r="E11">
        <v>20</v>
      </c>
      <c r="F11" t="b">
        <f t="shared" si="0"/>
        <v>1</v>
      </c>
      <c r="G11">
        <f t="shared" si="2"/>
        <v>15</v>
      </c>
      <c r="H11">
        <v>16</v>
      </c>
      <c r="I11">
        <v>17</v>
      </c>
    </row>
    <row r="12" spans="1:12" x14ac:dyDescent="0.2">
      <c r="A12" s="7" t="s">
        <v>87</v>
      </c>
      <c r="B12" s="13" t="s">
        <v>149</v>
      </c>
      <c r="C12" s="13" t="s">
        <v>185</v>
      </c>
      <c r="D12">
        <f t="shared" si="1"/>
        <v>16</v>
      </c>
      <c r="E12">
        <v>16</v>
      </c>
      <c r="F12" t="b">
        <f t="shared" si="0"/>
        <v>1</v>
      </c>
      <c r="G12">
        <f t="shared" si="2"/>
        <v>11</v>
      </c>
      <c r="H12">
        <v>11</v>
      </c>
      <c r="I12">
        <f t="shared" si="3"/>
        <v>9</v>
      </c>
    </row>
    <row r="13" spans="1:12" x14ac:dyDescent="0.2">
      <c r="A13" s="1" t="s">
        <v>88</v>
      </c>
      <c r="B13" s="14" t="s">
        <v>150</v>
      </c>
      <c r="C13" s="14" t="s">
        <v>155</v>
      </c>
      <c r="D13">
        <f t="shared" si="1"/>
        <v>17</v>
      </c>
      <c r="E13">
        <v>17</v>
      </c>
      <c r="F13" t="b">
        <f t="shared" si="0"/>
        <v>1</v>
      </c>
      <c r="G13">
        <f t="shared" si="2"/>
        <v>12</v>
      </c>
      <c r="H13">
        <v>16</v>
      </c>
      <c r="I13">
        <v>17</v>
      </c>
    </row>
    <row r="14" spans="1:12" x14ac:dyDescent="0.2">
      <c r="A14" s="7" t="s">
        <v>89</v>
      </c>
      <c r="B14" s="10" t="s">
        <v>89</v>
      </c>
      <c r="C14" s="13" t="s">
        <v>186</v>
      </c>
      <c r="D14">
        <f t="shared" si="1"/>
        <v>14</v>
      </c>
      <c r="E14">
        <v>14</v>
      </c>
      <c r="F14" t="b">
        <f t="shared" si="0"/>
        <v>1</v>
      </c>
      <c r="G14">
        <f t="shared" si="2"/>
        <v>14</v>
      </c>
      <c r="H14">
        <v>14</v>
      </c>
      <c r="I14">
        <f t="shared" si="3"/>
        <v>12</v>
      </c>
      <c r="L14" s="12"/>
    </row>
    <row r="15" spans="1:12" x14ac:dyDescent="0.2">
      <c r="A15" s="7" t="s">
        <v>90</v>
      </c>
      <c r="B15" s="10" t="s">
        <v>90</v>
      </c>
      <c r="C15" s="13" t="s">
        <v>156</v>
      </c>
      <c r="D15">
        <f t="shared" si="1"/>
        <v>15</v>
      </c>
      <c r="E15">
        <v>15</v>
      </c>
      <c r="F15" t="b">
        <f t="shared" si="0"/>
        <v>1</v>
      </c>
      <c r="G15">
        <f t="shared" si="2"/>
        <v>15</v>
      </c>
      <c r="H15">
        <v>15</v>
      </c>
      <c r="I15">
        <v>17</v>
      </c>
    </row>
    <row r="16" spans="1:12" x14ac:dyDescent="0.2">
      <c r="A16" s="7" t="s">
        <v>91</v>
      </c>
      <c r="B16" s="10" t="s">
        <v>91</v>
      </c>
      <c r="C16" s="13" t="s">
        <v>187</v>
      </c>
      <c r="D16">
        <f t="shared" si="1"/>
        <v>16</v>
      </c>
      <c r="E16">
        <v>16</v>
      </c>
      <c r="F16" t="b">
        <f t="shared" si="0"/>
        <v>1</v>
      </c>
      <c r="G16">
        <f t="shared" si="2"/>
        <v>16</v>
      </c>
      <c r="H16">
        <v>16</v>
      </c>
      <c r="I16">
        <f t="shared" si="3"/>
        <v>14</v>
      </c>
    </row>
    <row r="17" spans="1:9" x14ac:dyDescent="0.2">
      <c r="A17" s="7" t="s">
        <v>92</v>
      </c>
      <c r="B17" s="10" t="s">
        <v>92</v>
      </c>
      <c r="C17" s="13" t="s">
        <v>157</v>
      </c>
      <c r="D17">
        <f t="shared" si="1"/>
        <v>17</v>
      </c>
      <c r="E17">
        <v>17</v>
      </c>
      <c r="F17" t="b">
        <f t="shared" si="0"/>
        <v>1</v>
      </c>
      <c r="G17">
        <f t="shared" si="2"/>
        <v>17</v>
      </c>
      <c r="H17">
        <v>17</v>
      </c>
      <c r="I17">
        <v>17</v>
      </c>
    </row>
    <row r="18" spans="1:9" x14ac:dyDescent="0.2">
      <c r="A18" s="7" t="s">
        <v>93</v>
      </c>
      <c r="B18" s="10" t="s">
        <v>93</v>
      </c>
      <c r="C18" s="13" t="s">
        <v>188</v>
      </c>
      <c r="D18">
        <f t="shared" si="1"/>
        <v>14</v>
      </c>
      <c r="E18">
        <v>14</v>
      </c>
      <c r="F18" t="b">
        <f t="shared" si="0"/>
        <v>1</v>
      </c>
      <c r="G18">
        <f t="shared" si="2"/>
        <v>14</v>
      </c>
      <c r="H18">
        <v>14</v>
      </c>
      <c r="I18">
        <f t="shared" si="3"/>
        <v>12</v>
      </c>
    </row>
    <row r="19" spans="1:9" x14ac:dyDescent="0.2">
      <c r="A19" s="7" t="s">
        <v>94</v>
      </c>
      <c r="B19" s="10" t="s">
        <v>94</v>
      </c>
      <c r="C19" s="13" t="s">
        <v>158</v>
      </c>
      <c r="D19">
        <f t="shared" si="1"/>
        <v>15</v>
      </c>
      <c r="E19">
        <v>15</v>
      </c>
      <c r="F19" t="b">
        <f t="shared" si="0"/>
        <v>1</v>
      </c>
      <c r="G19">
        <f t="shared" si="2"/>
        <v>15</v>
      </c>
      <c r="H19">
        <v>15</v>
      </c>
      <c r="I19">
        <v>17</v>
      </c>
    </row>
    <row r="20" spans="1:9" x14ac:dyDescent="0.2">
      <c r="A20" s="7" t="s">
        <v>95</v>
      </c>
      <c r="B20" s="10" t="s">
        <v>95</v>
      </c>
      <c r="C20" s="13" t="s">
        <v>189</v>
      </c>
      <c r="D20">
        <f t="shared" si="1"/>
        <v>16</v>
      </c>
      <c r="E20">
        <v>16</v>
      </c>
      <c r="F20" t="b">
        <f t="shared" si="0"/>
        <v>1</v>
      </c>
      <c r="G20">
        <f t="shared" si="2"/>
        <v>16</v>
      </c>
      <c r="H20">
        <v>16</v>
      </c>
      <c r="I20">
        <f t="shared" si="3"/>
        <v>14</v>
      </c>
    </row>
    <row r="21" spans="1:9" x14ac:dyDescent="0.2">
      <c r="A21" s="7" t="s">
        <v>96</v>
      </c>
      <c r="B21" s="10" t="s">
        <v>96</v>
      </c>
      <c r="C21" s="13" t="s">
        <v>159</v>
      </c>
      <c r="D21">
        <f t="shared" si="1"/>
        <v>17</v>
      </c>
      <c r="E21">
        <v>17</v>
      </c>
      <c r="F21" t="b">
        <f t="shared" si="0"/>
        <v>1</v>
      </c>
      <c r="G21">
        <f t="shared" si="2"/>
        <v>17</v>
      </c>
      <c r="H21">
        <v>17</v>
      </c>
      <c r="I21">
        <v>17</v>
      </c>
    </row>
    <row r="22" spans="1:9" x14ac:dyDescent="0.2">
      <c r="A22" s="1" t="s">
        <v>97</v>
      </c>
      <c r="B22" s="9" t="s">
        <v>97</v>
      </c>
      <c r="C22" s="14" t="s">
        <v>190</v>
      </c>
      <c r="D22">
        <f t="shared" si="1"/>
        <v>13</v>
      </c>
      <c r="E22">
        <v>13</v>
      </c>
      <c r="F22" t="b">
        <f t="shared" si="0"/>
        <v>1</v>
      </c>
      <c r="G22">
        <f t="shared" si="2"/>
        <v>13</v>
      </c>
      <c r="H22">
        <v>13</v>
      </c>
      <c r="I22">
        <f t="shared" si="3"/>
        <v>11</v>
      </c>
    </row>
    <row r="23" spans="1:9" x14ac:dyDescent="0.2">
      <c r="A23" s="1" t="s">
        <v>98</v>
      </c>
      <c r="B23" s="9" t="s">
        <v>98</v>
      </c>
      <c r="C23" s="14" t="s">
        <v>160</v>
      </c>
      <c r="D23">
        <f t="shared" si="1"/>
        <v>14</v>
      </c>
      <c r="E23">
        <v>14</v>
      </c>
      <c r="F23" t="b">
        <f t="shared" si="0"/>
        <v>1</v>
      </c>
      <c r="G23">
        <f t="shared" si="2"/>
        <v>14</v>
      </c>
      <c r="H23">
        <v>14</v>
      </c>
      <c r="I23">
        <v>17</v>
      </c>
    </row>
    <row r="24" spans="1:9" x14ac:dyDescent="0.2">
      <c r="A24" s="1" t="s">
        <v>99</v>
      </c>
      <c r="B24" s="9" t="s">
        <v>99</v>
      </c>
      <c r="C24" s="14" t="s">
        <v>191</v>
      </c>
      <c r="D24">
        <f t="shared" si="1"/>
        <v>14</v>
      </c>
      <c r="E24">
        <v>14</v>
      </c>
      <c r="F24" t="b">
        <f t="shared" si="0"/>
        <v>1</v>
      </c>
      <c r="G24">
        <f t="shared" si="2"/>
        <v>14</v>
      </c>
      <c r="H24">
        <v>14</v>
      </c>
      <c r="I24">
        <f t="shared" si="3"/>
        <v>12</v>
      </c>
    </row>
    <row r="25" spans="1:9" x14ac:dyDescent="0.2">
      <c r="A25" s="1" t="s">
        <v>100</v>
      </c>
      <c r="B25" s="9" t="s">
        <v>100</v>
      </c>
      <c r="C25" s="14" t="s">
        <v>161</v>
      </c>
      <c r="D25">
        <f t="shared" si="1"/>
        <v>15</v>
      </c>
      <c r="E25">
        <v>15</v>
      </c>
      <c r="F25" t="b">
        <f t="shared" si="0"/>
        <v>1</v>
      </c>
      <c r="G25">
        <f t="shared" si="2"/>
        <v>15</v>
      </c>
      <c r="H25">
        <v>15</v>
      </c>
      <c r="I25">
        <v>17</v>
      </c>
    </row>
    <row r="26" spans="1:9" x14ac:dyDescent="0.2">
      <c r="A26" s="7" t="s">
        <v>101</v>
      </c>
      <c r="B26" s="10" t="s">
        <v>101</v>
      </c>
      <c r="C26" s="13" t="s">
        <v>192</v>
      </c>
      <c r="D26">
        <f t="shared" si="1"/>
        <v>16</v>
      </c>
      <c r="E26">
        <v>16</v>
      </c>
      <c r="F26" t="b">
        <f t="shared" si="0"/>
        <v>1</v>
      </c>
      <c r="G26">
        <f t="shared" si="2"/>
        <v>16</v>
      </c>
      <c r="H26">
        <v>16</v>
      </c>
      <c r="I26">
        <f t="shared" si="3"/>
        <v>14</v>
      </c>
    </row>
    <row r="27" spans="1:9" x14ac:dyDescent="0.2">
      <c r="A27" s="7" t="s">
        <v>102</v>
      </c>
      <c r="B27" s="10" t="s">
        <v>102</v>
      </c>
      <c r="C27" s="13" t="s">
        <v>162</v>
      </c>
      <c r="D27">
        <f t="shared" si="1"/>
        <v>17</v>
      </c>
      <c r="E27">
        <v>17</v>
      </c>
      <c r="F27" t="b">
        <f t="shared" si="0"/>
        <v>1</v>
      </c>
      <c r="G27">
        <f t="shared" si="2"/>
        <v>17</v>
      </c>
      <c r="H27">
        <v>17</v>
      </c>
      <c r="I27">
        <v>17</v>
      </c>
    </row>
    <row r="28" spans="1:9" x14ac:dyDescent="0.2">
      <c r="A28" s="1" t="s">
        <v>103</v>
      </c>
      <c r="B28" s="9" t="s">
        <v>103</v>
      </c>
      <c r="C28" s="14" t="s">
        <v>193</v>
      </c>
      <c r="D28">
        <f t="shared" si="1"/>
        <v>14</v>
      </c>
      <c r="E28">
        <v>14</v>
      </c>
      <c r="F28" t="b">
        <f t="shared" si="0"/>
        <v>1</v>
      </c>
      <c r="G28">
        <f t="shared" si="2"/>
        <v>14</v>
      </c>
      <c r="H28">
        <v>14</v>
      </c>
      <c r="I28">
        <f t="shared" si="3"/>
        <v>12</v>
      </c>
    </row>
    <row r="29" spans="1:9" x14ac:dyDescent="0.2">
      <c r="A29" s="1" t="s">
        <v>104</v>
      </c>
      <c r="B29" s="9" t="s">
        <v>104</v>
      </c>
      <c r="C29" s="14" t="s">
        <v>163</v>
      </c>
      <c r="D29">
        <f t="shared" si="1"/>
        <v>15</v>
      </c>
      <c r="E29">
        <v>15</v>
      </c>
      <c r="F29" t="b">
        <f t="shared" si="0"/>
        <v>1</v>
      </c>
      <c r="G29">
        <f t="shared" si="2"/>
        <v>15</v>
      </c>
      <c r="H29">
        <v>15</v>
      </c>
      <c r="I29">
        <v>17</v>
      </c>
    </row>
    <row r="30" spans="1:9" x14ac:dyDescent="0.2">
      <c r="A30" s="7" t="s">
        <v>105</v>
      </c>
      <c r="B30" s="10" t="s">
        <v>105</v>
      </c>
      <c r="C30" s="13" t="s">
        <v>194</v>
      </c>
      <c r="D30">
        <f t="shared" si="1"/>
        <v>16</v>
      </c>
      <c r="E30">
        <v>16</v>
      </c>
      <c r="F30" t="b">
        <f t="shared" si="0"/>
        <v>1</v>
      </c>
      <c r="G30">
        <f t="shared" si="2"/>
        <v>16</v>
      </c>
      <c r="H30">
        <v>16</v>
      </c>
      <c r="I30">
        <f t="shared" si="3"/>
        <v>14</v>
      </c>
    </row>
    <row r="31" spans="1:9" x14ac:dyDescent="0.2">
      <c r="A31" s="7" t="s">
        <v>106</v>
      </c>
      <c r="B31" s="10" t="s">
        <v>106</v>
      </c>
      <c r="C31" s="13" t="s">
        <v>164</v>
      </c>
      <c r="D31">
        <f t="shared" si="1"/>
        <v>17</v>
      </c>
      <c r="E31">
        <v>17</v>
      </c>
      <c r="F31" t="b">
        <f t="shared" si="0"/>
        <v>1</v>
      </c>
      <c r="G31">
        <f t="shared" si="2"/>
        <v>17</v>
      </c>
      <c r="H31">
        <v>17</v>
      </c>
      <c r="I31">
        <v>17</v>
      </c>
    </row>
    <row r="32" spans="1:9" x14ac:dyDescent="0.2">
      <c r="A32" s="1" t="s">
        <v>107</v>
      </c>
      <c r="B32" s="9" t="s">
        <v>107</v>
      </c>
      <c r="C32" s="14" t="s">
        <v>195</v>
      </c>
      <c r="D32">
        <f t="shared" si="1"/>
        <v>13</v>
      </c>
      <c r="E32">
        <v>13</v>
      </c>
      <c r="F32" t="b">
        <f t="shared" si="0"/>
        <v>1</v>
      </c>
      <c r="G32">
        <f t="shared" si="2"/>
        <v>13</v>
      </c>
      <c r="H32">
        <v>13</v>
      </c>
      <c r="I32">
        <f t="shared" si="3"/>
        <v>11</v>
      </c>
    </row>
    <row r="33" spans="1:9" x14ac:dyDescent="0.2">
      <c r="A33" s="1" t="s">
        <v>108</v>
      </c>
      <c r="B33" s="9" t="s">
        <v>108</v>
      </c>
      <c r="C33" s="14" t="s">
        <v>165</v>
      </c>
      <c r="D33">
        <f t="shared" si="1"/>
        <v>14</v>
      </c>
      <c r="E33">
        <v>14</v>
      </c>
      <c r="F33" t="b">
        <f t="shared" si="0"/>
        <v>1</v>
      </c>
      <c r="G33">
        <f t="shared" si="2"/>
        <v>14</v>
      </c>
      <c r="H33">
        <v>14</v>
      </c>
      <c r="I33">
        <v>17</v>
      </c>
    </row>
    <row r="34" spans="1:9" x14ac:dyDescent="0.2">
      <c r="A34" s="7" t="s">
        <v>109</v>
      </c>
      <c r="B34" s="10" t="s">
        <v>109</v>
      </c>
      <c r="C34" s="13" t="s">
        <v>196</v>
      </c>
      <c r="D34">
        <f t="shared" si="1"/>
        <v>15</v>
      </c>
      <c r="E34">
        <v>15</v>
      </c>
      <c r="F34" t="b">
        <f t="shared" si="0"/>
        <v>1</v>
      </c>
      <c r="G34">
        <f t="shared" si="2"/>
        <v>15</v>
      </c>
      <c r="H34">
        <v>15</v>
      </c>
      <c r="I34">
        <f t="shared" si="3"/>
        <v>13</v>
      </c>
    </row>
    <row r="35" spans="1:9" x14ac:dyDescent="0.2">
      <c r="A35" s="7" t="s">
        <v>110</v>
      </c>
      <c r="B35" s="10" t="s">
        <v>110</v>
      </c>
      <c r="C35" s="13" t="s">
        <v>166</v>
      </c>
      <c r="D35">
        <f t="shared" si="1"/>
        <v>16</v>
      </c>
      <c r="E35">
        <v>16</v>
      </c>
      <c r="F35" t="b">
        <f t="shared" si="0"/>
        <v>1</v>
      </c>
      <c r="G35">
        <f t="shared" si="2"/>
        <v>16</v>
      </c>
      <c r="H35">
        <v>16</v>
      </c>
      <c r="I35">
        <v>17</v>
      </c>
    </row>
    <row r="36" spans="1:9" x14ac:dyDescent="0.2">
      <c r="A36" s="7" t="s">
        <v>111</v>
      </c>
      <c r="B36" s="10" t="s">
        <v>111</v>
      </c>
      <c r="C36" s="13" t="s">
        <v>197</v>
      </c>
      <c r="D36">
        <f t="shared" si="1"/>
        <v>17</v>
      </c>
      <c r="E36">
        <v>17</v>
      </c>
      <c r="F36" t="b">
        <f t="shared" si="0"/>
        <v>1</v>
      </c>
      <c r="G36">
        <f t="shared" ref="G36:G63" si="4">LEN(B36)</f>
        <v>17</v>
      </c>
      <c r="H36">
        <v>17</v>
      </c>
      <c r="I36">
        <f t="shared" si="3"/>
        <v>15</v>
      </c>
    </row>
    <row r="37" spans="1:9" x14ac:dyDescent="0.2">
      <c r="A37" s="7" t="s">
        <v>112</v>
      </c>
      <c r="B37" s="10" t="s">
        <v>112</v>
      </c>
      <c r="C37" s="13" t="s">
        <v>167</v>
      </c>
      <c r="D37">
        <f t="shared" si="1"/>
        <v>18</v>
      </c>
      <c r="E37">
        <v>18</v>
      </c>
      <c r="F37" t="b">
        <f t="shared" si="0"/>
        <v>1</v>
      </c>
      <c r="G37">
        <f t="shared" si="4"/>
        <v>18</v>
      </c>
      <c r="H37">
        <v>18</v>
      </c>
      <c r="I37">
        <f t="shared" si="3"/>
        <v>17</v>
      </c>
    </row>
    <row r="38" spans="1:9" x14ac:dyDescent="0.2">
      <c r="A38" s="7" t="s">
        <v>113</v>
      </c>
      <c r="B38" s="10" t="s">
        <v>113</v>
      </c>
      <c r="C38" s="13" t="s">
        <v>198</v>
      </c>
      <c r="D38">
        <f t="shared" si="1"/>
        <v>15</v>
      </c>
      <c r="E38">
        <v>15</v>
      </c>
      <c r="F38" t="b">
        <f t="shared" si="0"/>
        <v>1</v>
      </c>
      <c r="G38">
        <f t="shared" si="4"/>
        <v>15</v>
      </c>
      <c r="H38">
        <v>15</v>
      </c>
      <c r="I38">
        <f t="shared" si="3"/>
        <v>13</v>
      </c>
    </row>
    <row r="39" spans="1:9" x14ac:dyDescent="0.2">
      <c r="A39" s="7" t="s">
        <v>114</v>
      </c>
      <c r="B39" s="10" t="s">
        <v>114</v>
      </c>
      <c r="C39" s="13" t="s">
        <v>168</v>
      </c>
      <c r="D39">
        <f t="shared" si="1"/>
        <v>16</v>
      </c>
      <c r="E39">
        <v>16</v>
      </c>
      <c r="F39" t="b">
        <f t="shared" si="0"/>
        <v>1</v>
      </c>
      <c r="G39">
        <f t="shared" si="4"/>
        <v>16</v>
      </c>
      <c r="H39">
        <v>16</v>
      </c>
      <c r="I39">
        <v>17</v>
      </c>
    </row>
    <row r="40" spans="1:9" x14ac:dyDescent="0.2">
      <c r="A40" s="7" t="s">
        <v>115</v>
      </c>
      <c r="B40" s="10" t="s">
        <v>115</v>
      </c>
      <c r="C40" s="13" t="s">
        <v>199</v>
      </c>
      <c r="D40">
        <f t="shared" si="1"/>
        <v>17</v>
      </c>
      <c r="E40">
        <v>17</v>
      </c>
      <c r="F40" t="b">
        <f t="shared" si="0"/>
        <v>1</v>
      </c>
      <c r="G40">
        <f t="shared" si="4"/>
        <v>17</v>
      </c>
      <c r="H40">
        <v>17</v>
      </c>
      <c r="I40">
        <f t="shared" si="3"/>
        <v>15</v>
      </c>
    </row>
    <row r="41" spans="1:9" x14ac:dyDescent="0.2">
      <c r="A41" s="7" t="s">
        <v>116</v>
      </c>
      <c r="B41" s="10" t="s">
        <v>116</v>
      </c>
      <c r="C41" s="13" t="s">
        <v>169</v>
      </c>
      <c r="D41">
        <f t="shared" si="1"/>
        <v>18</v>
      </c>
      <c r="E41">
        <v>18</v>
      </c>
      <c r="F41" t="b">
        <f t="shared" si="0"/>
        <v>1</v>
      </c>
      <c r="G41">
        <f t="shared" si="4"/>
        <v>18</v>
      </c>
      <c r="H41">
        <v>18</v>
      </c>
      <c r="I41">
        <f t="shared" si="3"/>
        <v>17</v>
      </c>
    </row>
    <row r="42" spans="1:9" x14ac:dyDescent="0.2">
      <c r="A42" s="7" t="s">
        <v>117</v>
      </c>
      <c r="B42" s="10" t="s">
        <v>117</v>
      </c>
      <c r="C42" s="13" t="s">
        <v>200</v>
      </c>
      <c r="D42">
        <f t="shared" si="1"/>
        <v>14</v>
      </c>
      <c r="E42">
        <v>14</v>
      </c>
      <c r="F42" t="b">
        <f t="shared" si="0"/>
        <v>1</v>
      </c>
      <c r="G42">
        <f t="shared" si="4"/>
        <v>14</v>
      </c>
      <c r="H42">
        <v>14</v>
      </c>
      <c r="I42">
        <f t="shared" si="3"/>
        <v>12</v>
      </c>
    </row>
    <row r="43" spans="1:9" x14ac:dyDescent="0.2">
      <c r="A43" s="1" t="s">
        <v>118</v>
      </c>
      <c r="B43" s="9" t="s">
        <v>118</v>
      </c>
      <c r="C43" s="14" t="s">
        <v>170</v>
      </c>
      <c r="D43">
        <f t="shared" si="1"/>
        <v>15</v>
      </c>
      <c r="E43">
        <v>15</v>
      </c>
      <c r="F43" t="b">
        <f t="shared" si="0"/>
        <v>1</v>
      </c>
      <c r="G43">
        <f t="shared" si="4"/>
        <v>15</v>
      </c>
      <c r="H43">
        <v>15</v>
      </c>
      <c r="I43">
        <v>17</v>
      </c>
    </row>
    <row r="44" spans="1:9" x14ac:dyDescent="0.2">
      <c r="A44" s="7" t="s">
        <v>119</v>
      </c>
      <c r="B44" s="10" t="s">
        <v>119</v>
      </c>
      <c r="C44" s="13" t="s">
        <v>201</v>
      </c>
      <c r="D44">
        <f t="shared" si="1"/>
        <v>16</v>
      </c>
      <c r="E44">
        <v>16</v>
      </c>
      <c r="F44" t="b">
        <f t="shared" si="0"/>
        <v>1</v>
      </c>
      <c r="G44">
        <f t="shared" si="4"/>
        <v>16</v>
      </c>
      <c r="H44">
        <v>16</v>
      </c>
      <c r="I44">
        <f t="shared" si="3"/>
        <v>14</v>
      </c>
    </row>
    <row r="45" spans="1:9" x14ac:dyDescent="0.2">
      <c r="A45" s="7" t="s">
        <v>120</v>
      </c>
      <c r="B45" s="10" t="s">
        <v>120</v>
      </c>
      <c r="C45" s="13" t="s">
        <v>171</v>
      </c>
      <c r="D45">
        <f t="shared" si="1"/>
        <v>17</v>
      </c>
      <c r="E45">
        <v>17</v>
      </c>
      <c r="F45" t="b">
        <f t="shared" si="0"/>
        <v>1</v>
      </c>
      <c r="G45">
        <f t="shared" si="4"/>
        <v>17</v>
      </c>
      <c r="H45">
        <v>17</v>
      </c>
      <c r="I45">
        <f t="shared" si="3"/>
        <v>16</v>
      </c>
    </row>
    <row r="46" spans="1:9" x14ac:dyDescent="0.2">
      <c r="A46" s="7" t="s">
        <v>121</v>
      </c>
      <c r="B46" s="10" t="s">
        <v>121</v>
      </c>
      <c r="C46" s="13" t="s">
        <v>202</v>
      </c>
      <c r="D46">
        <f t="shared" si="1"/>
        <v>18</v>
      </c>
      <c r="E46">
        <v>18</v>
      </c>
      <c r="F46" t="b">
        <f t="shared" si="0"/>
        <v>1</v>
      </c>
      <c r="G46">
        <f t="shared" si="4"/>
        <v>18</v>
      </c>
      <c r="H46">
        <v>18</v>
      </c>
      <c r="I46">
        <f t="shared" si="3"/>
        <v>16</v>
      </c>
    </row>
    <row r="47" spans="1:9" x14ac:dyDescent="0.2">
      <c r="A47" s="7" t="s">
        <v>122</v>
      </c>
      <c r="B47" s="10" t="s">
        <v>122</v>
      </c>
      <c r="C47" s="13" t="s">
        <v>172</v>
      </c>
      <c r="D47">
        <f t="shared" si="1"/>
        <v>19</v>
      </c>
      <c r="E47">
        <v>19</v>
      </c>
      <c r="F47" t="b">
        <f t="shared" si="0"/>
        <v>1</v>
      </c>
      <c r="G47">
        <f t="shared" si="4"/>
        <v>19</v>
      </c>
      <c r="H47">
        <v>19</v>
      </c>
      <c r="I47">
        <f t="shared" si="3"/>
        <v>18</v>
      </c>
    </row>
    <row r="48" spans="1:9" x14ac:dyDescent="0.2">
      <c r="A48" s="7" t="s">
        <v>123</v>
      </c>
      <c r="B48" s="10" t="s">
        <v>123</v>
      </c>
      <c r="C48" s="13" t="s">
        <v>203</v>
      </c>
      <c r="D48">
        <f t="shared" si="1"/>
        <v>16</v>
      </c>
      <c r="E48">
        <v>16</v>
      </c>
      <c r="F48" t="b">
        <f t="shared" si="0"/>
        <v>1</v>
      </c>
      <c r="G48">
        <f t="shared" si="4"/>
        <v>16</v>
      </c>
      <c r="H48">
        <v>16</v>
      </c>
      <c r="I48">
        <f t="shared" si="3"/>
        <v>14</v>
      </c>
    </row>
    <row r="49" spans="1:9" x14ac:dyDescent="0.2">
      <c r="A49" s="7" t="s">
        <v>124</v>
      </c>
      <c r="B49" s="10" t="s">
        <v>124</v>
      </c>
      <c r="C49" s="13" t="s">
        <v>173</v>
      </c>
      <c r="D49">
        <f t="shared" si="1"/>
        <v>17</v>
      </c>
      <c r="E49">
        <v>17</v>
      </c>
      <c r="F49" t="b">
        <f t="shared" si="0"/>
        <v>1</v>
      </c>
      <c r="G49">
        <f t="shared" si="4"/>
        <v>17</v>
      </c>
      <c r="H49">
        <v>17</v>
      </c>
      <c r="I49">
        <v>17</v>
      </c>
    </row>
    <row r="50" spans="1:9" x14ac:dyDescent="0.2">
      <c r="A50" s="7" t="s">
        <v>125</v>
      </c>
      <c r="B50" s="10" t="s">
        <v>125</v>
      </c>
      <c r="C50" s="13" t="s">
        <v>204</v>
      </c>
      <c r="D50">
        <f t="shared" si="1"/>
        <v>18</v>
      </c>
      <c r="E50">
        <v>18</v>
      </c>
      <c r="F50" t="b">
        <f t="shared" si="0"/>
        <v>1</v>
      </c>
      <c r="G50">
        <f t="shared" si="4"/>
        <v>18</v>
      </c>
      <c r="H50">
        <v>18</v>
      </c>
      <c r="I50">
        <f t="shared" si="3"/>
        <v>16</v>
      </c>
    </row>
    <row r="51" spans="1:9" x14ac:dyDescent="0.2">
      <c r="A51" s="7" t="s">
        <v>126</v>
      </c>
      <c r="B51" s="10" t="s">
        <v>126</v>
      </c>
      <c r="C51" s="13" t="s">
        <v>174</v>
      </c>
      <c r="D51">
        <f t="shared" si="1"/>
        <v>19</v>
      </c>
      <c r="E51">
        <v>19</v>
      </c>
      <c r="F51" t="b">
        <f t="shared" si="0"/>
        <v>1</v>
      </c>
      <c r="G51">
        <f t="shared" si="4"/>
        <v>19</v>
      </c>
      <c r="H51">
        <v>19</v>
      </c>
      <c r="I51">
        <f t="shared" si="3"/>
        <v>18</v>
      </c>
    </row>
    <row r="52" spans="1:9" x14ac:dyDescent="0.2">
      <c r="A52" s="7" t="s">
        <v>127</v>
      </c>
      <c r="B52" s="10" t="s">
        <v>127</v>
      </c>
      <c r="C52" s="13" t="s">
        <v>205</v>
      </c>
      <c r="D52">
        <f t="shared" si="1"/>
        <v>15</v>
      </c>
      <c r="E52">
        <v>15</v>
      </c>
      <c r="F52" t="b">
        <f t="shared" si="0"/>
        <v>1</v>
      </c>
      <c r="G52">
        <f t="shared" si="4"/>
        <v>15</v>
      </c>
      <c r="H52">
        <v>15</v>
      </c>
      <c r="I52">
        <f t="shared" si="3"/>
        <v>13</v>
      </c>
    </row>
    <row r="53" spans="1:9" x14ac:dyDescent="0.2">
      <c r="A53" s="1" t="s">
        <v>128</v>
      </c>
      <c r="B53" s="9" t="s">
        <v>128</v>
      </c>
      <c r="C53" s="14" t="s">
        <v>175</v>
      </c>
      <c r="D53">
        <f t="shared" si="1"/>
        <v>16</v>
      </c>
      <c r="E53">
        <v>16</v>
      </c>
      <c r="F53" t="b">
        <f t="shared" si="0"/>
        <v>1</v>
      </c>
      <c r="G53">
        <f t="shared" si="4"/>
        <v>16</v>
      </c>
      <c r="H53">
        <v>16</v>
      </c>
      <c r="I53">
        <v>17</v>
      </c>
    </row>
    <row r="54" spans="1:9" x14ac:dyDescent="0.2">
      <c r="A54" s="7" t="s">
        <v>129</v>
      </c>
      <c r="B54" s="10" t="s">
        <v>129</v>
      </c>
      <c r="C54" s="13" t="s">
        <v>206</v>
      </c>
      <c r="D54">
        <f t="shared" si="1"/>
        <v>15</v>
      </c>
      <c r="E54">
        <v>15</v>
      </c>
      <c r="F54" t="b">
        <f t="shared" si="0"/>
        <v>1</v>
      </c>
      <c r="G54">
        <f t="shared" si="4"/>
        <v>15</v>
      </c>
      <c r="H54">
        <v>15</v>
      </c>
      <c r="I54">
        <f t="shared" si="3"/>
        <v>13</v>
      </c>
    </row>
    <row r="55" spans="1:9" x14ac:dyDescent="0.2">
      <c r="A55" s="1" t="s">
        <v>130</v>
      </c>
      <c r="B55" s="9" t="s">
        <v>130</v>
      </c>
      <c r="C55" s="14" t="s">
        <v>176</v>
      </c>
      <c r="D55">
        <f t="shared" si="1"/>
        <v>16</v>
      </c>
      <c r="E55">
        <v>16</v>
      </c>
      <c r="F55" t="b">
        <f t="shared" si="0"/>
        <v>1</v>
      </c>
      <c r="G55">
        <f t="shared" si="4"/>
        <v>16</v>
      </c>
      <c r="H55">
        <v>16</v>
      </c>
      <c r="I55">
        <v>17</v>
      </c>
    </row>
    <row r="56" spans="1:9" x14ac:dyDescent="0.2">
      <c r="A56" s="7" t="s">
        <v>131</v>
      </c>
      <c r="B56" s="10" t="s">
        <v>131</v>
      </c>
      <c r="C56" s="13" t="s">
        <v>207</v>
      </c>
      <c r="D56">
        <f t="shared" si="1"/>
        <v>17</v>
      </c>
      <c r="E56">
        <v>17</v>
      </c>
      <c r="F56" t="b">
        <f t="shared" si="0"/>
        <v>1</v>
      </c>
      <c r="G56">
        <f t="shared" si="4"/>
        <v>17</v>
      </c>
      <c r="H56">
        <v>17</v>
      </c>
      <c r="I56">
        <f t="shared" si="3"/>
        <v>15</v>
      </c>
    </row>
    <row r="57" spans="1:9" x14ac:dyDescent="0.2">
      <c r="A57" s="7" t="s">
        <v>132</v>
      </c>
      <c r="B57" s="10" t="s">
        <v>132</v>
      </c>
      <c r="C57" s="13" t="s">
        <v>177</v>
      </c>
      <c r="D57">
        <f t="shared" si="1"/>
        <v>18</v>
      </c>
      <c r="E57">
        <v>18</v>
      </c>
      <c r="F57" t="b">
        <f t="shared" si="0"/>
        <v>1</v>
      </c>
      <c r="G57">
        <f t="shared" si="4"/>
        <v>18</v>
      </c>
      <c r="H57">
        <v>18</v>
      </c>
      <c r="I57">
        <f t="shared" si="3"/>
        <v>17</v>
      </c>
    </row>
    <row r="58" spans="1:9" x14ac:dyDescent="0.2">
      <c r="A58" s="7" t="s">
        <v>133</v>
      </c>
      <c r="B58" s="10" t="s">
        <v>133</v>
      </c>
      <c r="C58" s="13" t="s">
        <v>208</v>
      </c>
      <c r="D58">
        <f t="shared" si="1"/>
        <v>15</v>
      </c>
      <c r="E58">
        <v>15</v>
      </c>
      <c r="F58" t="b">
        <f t="shared" si="0"/>
        <v>1</v>
      </c>
      <c r="G58">
        <f t="shared" si="4"/>
        <v>15</v>
      </c>
      <c r="H58">
        <v>15</v>
      </c>
      <c r="I58">
        <f t="shared" si="3"/>
        <v>13</v>
      </c>
    </row>
    <row r="59" spans="1:9" x14ac:dyDescent="0.2">
      <c r="A59" s="1" t="s">
        <v>134</v>
      </c>
      <c r="B59" s="9" t="s">
        <v>134</v>
      </c>
      <c r="C59" s="14" t="s">
        <v>178</v>
      </c>
      <c r="D59">
        <f t="shared" si="1"/>
        <v>16</v>
      </c>
      <c r="E59">
        <v>16</v>
      </c>
      <c r="F59" t="b">
        <f t="shared" si="0"/>
        <v>1</v>
      </c>
      <c r="G59">
        <f t="shared" si="4"/>
        <v>16</v>
      </c>
      <c r="H59">
        <v>16</v>
      </c>
      <c r="I59">
        <v>17</v>
      </c>
    </row>
    <row r="60" spans="1:9" x14ac:dyDescent="0.2">
      <c r="A60" s="7" t="s">
        <v>135</v>
      </c>
      <c r="B60" s="10" t="s">
        <v>135</v>
      </c>
      <c r="C60" s="13" t="s">
        <v>209</v>
      </c>
      <c r="D60">
        <f t="shared" si="1"/>
        <v>17</v>
      </c>
      <c r="E60">
        <v>17</v>
      </c>
      <c r="F60" t="b">
        <f t="shared" si="0"/>
        <v>1</v>
      </c>
      <c r="G60">
        <f t="shared" si="4"/>
        <v>17</v>
      </c>
      <c r="H60">
        <v>17</v>
      </c>
      <c r="I60">
        <f t="shared" si="3"/>
        <v>15</v>
      </c>
    </row>
    <row r="61" spans="1:9" x14ac:dyDescent="0.2">
      <c r="A61" s="7" t="s">
        <v>136</v>
      </c>
      <c r="B61" s="10" t="s">
        <v>136</v>
      </c>
      <c r="C61" s="13" t="s">
        <v>179</v>
      </c>
      <c r="D61">
        <f t="shared" si="1"/>
        <v>18</v>
      </c>
      <c r="E61">
        <v>18</v>
      </c>
      <c r="F61" t="b">
        <f t="shared" si="0"/>
        <v>1</v>
      </c>
      <c r="G61">
        <f t="shared" si="4"/>
        <v>18</v>
      </c>
      <c r="H61">
        <v>18</v>
      </c>
      <c r="I61">
        <f t="shared" si="3"/>
        <v>17</v>
      </c>
    </row>
    <row r="62" spans="1:9" x14ac:dyDescent="0.2">
      <c r="A62" s="1" t="s">
        <v>137</v>
      </c>
      <c r="B62" s="9" t="s">
        <v>137</v>
      </c>
      <c r="C62" s="14" t="s">
        <v>210</v>
      </c>
      <c r="D62">
        <f t="shared" si="1"/>
        <v>14</v>
      </c>
      <c r="E62">
        <v>14</v>
      </c>
      <c r="F62" t="b">
        <f t="shared" si="0"/>
        <v>1</v>
      </c>
      <c r="G62">
        <f t="shared" si="4"/>
        <v>14</v>
      </c>
      <c r="H62">
        <v>14</v>
      </c>
      <c r="I62">
        <f t="shared" si="3"/>
        <v>12</v>
      </c>
    </row>
    <row r="63" spans="1:9" x14ac:dyDescent="0.2">
      <c r="A63" s="1" t="s">
        <v>138</v>
      </c>
      <c r="B63" s="9" t="s">
        <v>138</v>
      </c>
      <c r="C63" s="14" t="s">
        <v>180</v>
      </c>
      <c r="D63">
        <f t="shared" si="1"/>
        <v>15</v>
      </c>
      <c r="E63">
        <v>15</v>
      </c>
      <c r="F63" t="b">
        <f t="shared" si="0"/>
        <v>1</v>
      </c>
      <c r="G63">
        <f t="shared" si="4"/>
        <v>15</v>
      </c>
      <c r="H63">
        <v>15</v>
      </c>
      <c r="I63">
        <v>17</v>
      </c>
    </row>
    <row r="64" spans="1:9" x14ac:dyDescent="0.2">
      <c r="D64">
        <f>SUM(D2:D63)</f>
        <v>1024</v>
      </c>
      <c r="E64">
        <f>SUM(E2:E63)</f>
        <v>1024</v>
      </c>
      <c r="F64" t="b">
        <f t="shared" si="0"/>
        <v>1</v>
      </c>
      <c r="G64">
        <f>SUM(G2:G63)</f>
        <v>970</v>
      </c>
      <c r="H64">
        <f>SUM(H2:H63)</f>
        <v>982</v>
      </c>
      <c r="I64">
        <f>SUM(I2:I63)</f>
        <v>943</v>
      </c>
    </row>
    <row r="65" spans="4:9" x14ac:dyDescent="0.2">
      <c r="E65">
        <v>1089</v>
      </c>
      <c r="F65" t="b">
        <f t="shared" si="0"/>
        <v>0</v>
      </c>
      <c r="G65">
        <f>G64+65</f>
        <v>1035</v>
      </c>
      <c r="H65">
        <f>H64+65</f>
        <v>1047</v>
      </c>
      <c r="I65">
        <f>I64+65</f>
        <v>1008</v>
      </c>
    </row>
    <row r="66" spans="4:9" x14ac:dyDescent="0.2">
      <c r="D66">
        <f>61*15</f>
        <v>915</v>
      </c>
      <c r="E66">
        <f>E65-E64</f>
        <v>65</v>
      </c>
      <c r="F66" t="b">
        <f t="shared" si="0"/>
        <v>0</v>
      </c>
    </row>
    <row r="67" spans="4:9" x14ac:dyDescent="0.2">
      <c r="D67">
        <f>D66+40+4</f>
        <v>959</v>
      </c>
    </row>
    <row r="68" spans="4:9" x14ac:dyDescent="0.2">
      <c r="D68">
        <f>D67+E66</f>
        <v>1024</v>
      </c>
    </row>
  </sheetData>
  <autoFilter ref="A1:L6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E6"/>
  <sheetViews>
    <sheetView workbookViewId="0">
      <selection activeCell="E6" sqref="E6"/>
    </sheetView>
  </sheetViews>
  <sheetFormatPr defaultRowHeight="12.75" x14ac:dyDescent="0.2"/>
  <cols>
    <col min="5" max="5" width="15.42578125" bestFit="1" customWidth="1"/>
  </cols>
  <sheetData>
    <row r="5" spans="5:5" x14ac:dyDescent="0.2">
      <c r="E5" s="11" t="s">
        <v>211</v>
      </c>
    </row>
    <row r="6" spans="5:5" x14ac:dyDescent="0.2">
      <c r="E6">
        <f>LEN(E5)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Supaporn Ratthanapas</cp:lastModifiedBy>
  <cp:revision>1</cp:revision>
  <dcterms:created xsi:type="dcterms:W3CDTF">2022-08-17T10:24:41Z</dcterms:created>
  <dcterms:modified xsi:type="dcterms:W3CDTF">2022-08-18T03:32:01Z</dcterms:modified>
  <cp:category/>
</cp:coreProperties>
</file>